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hil.dameraicloud.com/Downloads/Bussines analytics/Ex/"/>
    </mc:Choice>
  </mc:AlternateContent>
  <xr:revisionPtr revIDLastSave="0" documentId="8_{A012D111-9E34-DD42-AC6B-648EC887D0EA}" xr6:coauthVersionLast="47" xr6:coauthVersionMax="47" xr10:uidLastSave="{00000000-0000-0000-0000-000000000000}"/>
  <bookViews>
    <workbookView xWindow="0" yWindow="0" windowWidth="28800" windowHeight="18000" activeTab="1" xr2:uid="{E39F1B53-3127-4D6C-88BD-079CCE5E8692}"/>
  </bookViews>
  <sheets>
    <sheet name="Sheet1" sheetId="2" r:id="rId1"/>
    <sheet name="tip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K22" i="1"/>
  <c r="K21" i="1"/>
  <c r="K20" i="1"/>
  <c r="K18" i="1"/>
  <c r="K19" i="1"/>
  <c r="L16" i="1"/>
  <c r="L15" i="1"/>
  <c r="L11" i="1"/>
  <c r="L10" i="1"/>
  <c r="L9" i="1"/>
  <c r="L8" i="1"/>
  <c r="M4" i="1"/>
  <c r="M3" i="1"/>
  <c r="M2" i="1"/>
  <c r="M1" i="1"/>
</calcChain>
</file>

<file path=xl/sharedStrings.xml><?xml version="1.0" encoding="utf-8"?>
<sst xmlns="http://schemas.openxmlformats.org/spreadsheetml/2006/main" count="1044" uniqueCount="63">
  <si>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</si>
  <si>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</si>
  <si>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</si>
  <si>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</si>
  <si>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</si>
  <si>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</si>
  <si>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</si>
  <si>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</si>
  <si>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</si>
  <si>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</si>
  <si>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</si>
  <si>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</si>
  <si>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</si>
  <si>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</si>
  <si>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</si>
  <si>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</si>
  <si>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</si>
  <si>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</si>
  <si>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</si>
  <si>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</si>
  <si>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</si>
  <si>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</si>
  <si>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Yes</t>
  </si>
  <si>
    <t>Thur</t>
  </si>
  <si>
    <t>Lunch</t>
  </si>
  <si>
    <t>Fri</t>
  </si>
  <si>
    <t>Average Tip</t>
  </si>
  <si>
    <t xml:space="preserve">Highest Tip </t>
  </si>
  <si>
    <t>Lowest Tip</t>
  </si>
  <si>
    <t>Total Customer</t>
  </si>
  <si>
    <t>DAYS</t>
  </si>
  <si>
    <t>Smokers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</si>
  <si>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</si>
  <si>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</si>
  <si>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</si>
  <si>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</si>
  <si>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</si>
  <si>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</si>
  <si>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</si>
  <si>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</si>
  <si>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</si>
  <si>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</si>
  <si>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</si>
  <si>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</si>
  <si>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</si>
  <si>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</si>
  <si>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</si>
  <si>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</si>
  <si>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</si>
  <si>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</si>
  <si>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</si>
  <si>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</si>
  <si>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</si>
  <si>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</si>
  <si>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</si>
  <si>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</si>
  <si>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Predicted Tip</t>
  </si>
  <si>
    <t>10 Bills</t>
  </si>
  <si>
    <t>20 Bills</t>
  </si>
  <si>
    <t>50 Bills</t>
  </si>
  <si>
    <t>100 Bills</t>
  </si>
  <si>
    <t>200 Bills</t>
  </si>
  <si>
    <t>244 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</si>
</sst>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409]#,##0.0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6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tips!$G$1</c:f>
              <c:strCache>
                <c:ptCount val="1"/>
                <c:pt idx="0">
                  <c:v>tip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tips!$F$2:$F$245</c:f>
              <c:numCache>
                <c:formatCode>General</c:formatCode>
                <c:ptCount val="244"/>
                <c:pt idx="0">
                  <c:v>16.989999999999998</c:v>
                </c:pt>
                <c:pt idx="1">
                  <c:v>10.34</c:v>
                </c:pt>
                <c:pt idx="2">
                  <c:v>21.01</c:v>
                </c:pt>
                <c:pt idx="3">
                  <c:v>23.68</c:v>
                </c:pt>
                <c:pt idx="4">
                  <c:v>24.59</c:v>
                </c:pt>
                <c:pt idx="5">
                  <c:v>25.29</c:v>
                </c:pt>
                <c:pt idx="6">
                  <c:v>8.77</c:v>
                </c:pt>
                <c:pt idx="7">
                  <c:v>26.88</c:v>
                </c:pt>
                <c:pt idx="8">
                  <c:v>15.04</c:v>
                </c:pt>
                <c:pt idx="9">
                  <c:v>14.78</c:v>
                </c:pt>
                <c:pt idx="10">
                  <c:v>10.27</c:v>
                </c:pt>
                <c:pt idx="11">
                  <c:v>35.26</c:v>
                </c:pt>
                <c:pt idx="12">
                  <c:v>15.42</c:v>
                </c:pt>
                <c:pt idx="13">
                  <c:v>18.43</c:v>
                </c:pt>
                <c:pt idx="14">
                  <c:v>14.83</c:v>
                </c:pt>
                <c:pt idx="15">
                  <c:v>21.58</c:v>
                </c:pt>
                <c:pt idx="16">
                  <c:v>10.33</c:v>
                </c:pt>
                <c:pt idx="17">
                  <c:v>16.29</c:v>
                </c:pt>
                <c:pt idx="18">
                  <c:v>16.97</c:v>
                </c:pt>
                <c:pt idx="19">
                  <c:v>20.65</c:v>
                </c:pt>
                <c:pt idx="20">
                  <c:v>17.920000000000002</c:v>
                </c:pt>
                <c:pt idx="21">
                  <c:v>20.29</c:v>
                </c:pt>
                <c:pt idx="22">
                  <c:v>15.77</c:v>
                </c:pt>
                <c:pt idx="23">
                  <c:v>39.42</c:v>
                </c:pt>
                <c:pt idx="24">
                  <c:v>19.82</c:v>
                </c:pt>
                <c:pt idx="25">
                  <c:v>17.809999999999999</c:v>
                </c:pt>
                <c:pt idx="26">
                  <c:v>13.37</c:v>
                </c:pt>
                <c:pt idx="27">
                  <c:v>12.69</c:v>
                </c:pt>
                <c:pt idx="28">
                  <c:v>21.7</c:v>
                </c:pt>
                <c:pt idx="29">
                  <c:v>19.649999999999999</c:v>
                </c:pt>
                <c:pt idx="30">
                  <c:v>9.5500000000000007</c:v>
                </c:pt>
                <c:pt idx="31">
                  <c:v>18.350000000000001</c:v>
                </c:pt>
                <c:pt idx="32">
                  <c:v>15.06</c:v>
                </c:pt>
                <c:pt idx="33">
                  <c:v>20.69</c:v>
                </c:pt>
                <c:pt idx="34">
                  <c:v>17.78</c:v>
                </c:pt>
                <c:pt idx="35">
                  <c:v>24.06</c:v>
                </c:pt>
                <c:pt idx="36">
                  <c:v>16.309999999999999</c:v>
                </c:pt>
                <c:pt idx="37">
                  <c:v>16.93</c:v>
                </c:pt>
                <c:pt idx="38">
                  <c:v>18.690000000000001</c:v>
                </c:pt>
                <c:pt idx="39">
                  <c:v>31.27</c:v>
                </c:pt>
                <c:pt idx="40">
                  <c:v>16.04</c:v>
                </c:pt>
                <c:pt idx="41">
                  <c:v>17.46</c:v>
                </c:pt>
                <c:pt idx="42">
                  <c:v>13.94</c:v>
                </c:pt>
                <c:pt idx="43">
                  <c:v>9.68</c:v>
                </c:pt>
                <c:pt idx="44">
                  <c:v>30.4</c:v>
                </c:pt>
                <c:pt idx="45">
                  <c:v>18.29</c:v>
                </c:pt>
                <c:pt idx="46">
                  <c:v>22.23</c:v>
                </c:pt>
                <c:pt idx="47">
                  <c:v>32.4</c:v>
                </c:pt>
                <c:pt idx="48">
                  <c:v>28.55</c:v>
                </c:pt>
                <c:pt idx="49">
                  <c:v>18.04</c:v>
                </c:pt>
                <c:pt idx="50">
                  <c:v>12.54</c:v>
                </c:pt>
                <c:pt idx="51">
                  <c:v>10.29</c:v>
                </c:pt>
                <c:pt idx="52">
                  <c:v>34.81</c:v>
                </c:pt>
                <c:pt idx="53">
                  <c:v>9.94</c:v>
                </c:pt>
                <c:pt idx="54">
                  <c:v>25.56</c:v>
                </c:pt>
                <c:pt idx="55">
                  <c:v>19.489999999999998</c:v>
                </c:pt>
                <c:pt idx="56">
                  <c:v>38.01</c:v>
                </c:pt>
                <c:pt idx="57">
                  <c:v>26.41</c:v>
                </c:pt>
                <c:pt idx="58">
                  <c:v>11.24</c:v>
                </c:pt>
                <c:pt idx="59">
                  <c:v>48.27</c:v>
                </c:pt>
                <c:pt idx="60">
                  <c:v>20.29</c:v>
                </c:pt>
                <c:pt idx="61">
                  <c:v>13.81</c:v>
                </c:pt>
                <c:pt idx="62">
                  <c:v>11.02</c:v>
                </c:pt>
                <c:pt idx="63">
                  <c:v>18.29</c:v>
                </c:pt>
                <c:pt idx="64">
                  <c:v>17.59</c:v>
                </c:pt>
                <c:pt idx="65">
                  <c:v>20.079999999999998</c:v>
                </c:pt>
                <c:pt idx="66">
                  <c:v>16.45</c:v>
                </c:pt>
                <c:pt idx="67">
                  <c:v>3.07</c:v>
                </c:pt>
                <c:pt idx="68">
                  <c:v>20.23</c:v>
                </c:pt>
                <c:pt idx="69">
                  <c:v>15.01</c:v>
                </c:pt>
                <c:pt idx="70">
                  <c:v>12.02</c:v>
                </c:pt>
                <c:pt idx="71">
                  <c:v>17.07</c:v>
                </c:pt>
                <c:pt idx="72">
                  <c:v>26.86</c:v>
                </c:pt>
                <c:pt idx="73">
                  <c:v>25.28</c:v>
                </c:pt>
                <c:pt idx="74">
                  <c:v>14.73</c:v>
                </c:pt>
                <c:pt idx="75">
                  <c:v>10.51</c:v>
                </c:pt>
                <c:pt idx="76">
                  <c:v>17.920000000000002</c:v>
                </c:pt>
                <c:pt idx="77">
                  <c:v>27.2</c:v>
                </c:pt>
                <c:pt idx="78">
                  <c:v>22.76</c:v>
                </c:pt>
                <c:pt idx="79">
                  <c:v>17.29</c:v>
                </c:pt>
                <c:pt idx="80">
                  <c:v>19.440000000000001</c:v>
                </c:pt>
                <c:pt idx="81">
                  <c:v>16.66</c:v>
                </c:pt>
                <c:pt idx="82">
                  <c:v>10.07</c:v>
                </c:pt>
                <c:pt idx="83">
                  <c:v>32.68</c:v>
                </c:pt>
                <c:pt idx="84">
                  <c:v>15.98</c:v>
                </c:pt>
                <c:pt idx="85">
                  <c:v>34.83</c:v>
                </c:pt>
                <c:pt idx="86">
                  <c:v>13.03</c:v>
                </c:pt>
                <c:pt idx="87">
                  <c:v>18.28</c:v>
                </c:pt>
                <c:pt idx="88">
                  <c:v>24.71</c:v>
                </c:pt>
                <c:pt idx="89">
                  <c:v>21.16</c:v>
                </c:pt>
                <c:pt idx="90">
                  <c:v>28.97</c:v>
                </c:pt>
                <c:pt idx="91">
                  <c:v>22.49</c:v>
                </c:pt>
                <c:pt idx="92">
                  <c:v>5.75</c:v>
                </c:pt>
                <c:pt idx="93">
                  <c:v>16.32</c:v>
                </c:pt>
                <c:pt idx="94">
                  <c:v>22.75</c:v>
                </c:pt>
                <c:pt idx="95">
                  <c:v>40.17</c:v>
                </c:pt>
                <c:pt idx="96">
                  <c:v>27.28</c:v>
                </c:pt>
                <c:pt idx="97">
                  <c:v>12.03</c:v>
                </c:pt>
                <c:pt idx="98">
                  <c:v>21.01</c:v>
                </c:pt>
                <c:pt idx="99">
                  <c:v>12.46</c:v>
                </c:pt>
                <c:pt idx="100">
                  <c:v>11.35</c:v>
                </c:pt>
                <c:pt idx="101">
                  <c:v>15.38</c:v>
                </c:pt>
                <c:pt idx="102">
                  <c:v>44.3</c:v>
                </c:pt>
                <c:pt idx="103">
                  <c:v>22.42</c:v>
                </c:pt>
                <c:pt idx="104">
                  <c:v>20.92</c:v>
                </c:pt>
                <c:pt idx="105">
                  <c:v>15.36</c:v>
                </c:pt>
                <c:pt idx="106">
                  <c:v>20.49</c:v>
                </c:pt>
                <c:pt idx="107">
                  <c:v>25.21</c:v>
                </c:pt>
                <c:pt idx="108">
                  <c:v>18.239999999999998</c:v>
                </c:pt>
                <c:pt idx="109">
                  <c:v>14.31</c:v>
                </c:pt>
                <c:pt idx="110">
                  <c:v>14</c:v>
                </c:pt>
                <c:pt idx="111">
                  <c:v>7.25</c:v>
                </c:pt>
                <c:pt idx="112">
                  <c:v>38.07</c:v>
                </c:pt>
                <c:pt idx="113">
                  <c:v>23.95</c:v>
                </c:pt>
                <c:pt idx="114">
                  <c:v>25.71</c:v>
                </c:pt>
                <c:pt idx="115">
                  <c:v>17.309999999999999</c:v>
                </c:pt>
                <c:pt idx="116">
                  <c:v>29.93</c:v>
                </c:pt>
                <c:pt idx="117">
                  <c:v>10.65</c:v>
                </c:pt>
                <c:pt idx="118">
                  <c:v>12.43</c:v>
                </c:pt>
                <c:pt idx="119">
                  <c:v>24.08</c:v>
                </c:pt>
                <c:pt idx="120">
                  <c:v>11.69</c:v>
                </c:pt>
                <c:pt idx="121">
                  <c:v>13.42</c:v>
                </c:pt>
                <c:pt idx="122">
                  <c:v>14.26</c:v>
                </c:pt>
                <c:pt idx="123">
                  <c:v>15.95</c:v>
                </c:pt>
                <c:pt idx="124">
                  <c:v>12.48</c:v>
                </c:pt>
                <c:pt idx="125">
                  <c:v>29.8</c:v>
                </c:pt>
                <c:pt idx="126">
                  <c:v>8.52</c:v>
                </c:pt>
                <c:pt idx="127">
                  <c:v>14.52</c:v>
                </c:pt>
                <c:pt idx="128">
                  <c:v>11.38</c:v>
                </c:pt>
                <c:pt idx="129">
                  <c:v>22.82</c:v>
                </c:pt>
                <c:pt idx="130">
                  <c:v>19.079999999999998</c:v>
                </c:pt>
                <c:pt idx="131">
                  <c:v>20.27</c:v>
                </c:pt>
                <c:pt idx="132">
                  <c:v>11.17</c:v>
                </c:pt>
                <c:pt idx="133">
                  <c:v>12.26</c:v>
                </c:pt>
                <c:pt idx="134">
                  <c:v>18.260000000000002</c:v>
                </c:pt>
                <c:pt idx="135">
                  <c:v>8.51</c:v>
                </c:pt>
                <c:pt idx="136">
                  <c:v>10.33</c:v>
                </c:pt>
                <c:pt idx="137">
                  <c:v>14.15</c:v>
                </c:pt>
                <c:pt idx="138">
                  <c:v>16</c:v>
                </c:pt>
                <c:pt idx="139">
                  <c:v>13.16</c:v>
                </c:pt>
                <c:pt idx="140">
                  <c:v>17.47</c:v>
                </c:pt>
                <c:pt idx="141">
                  <c:v>34.299999999999997</c:v>
                </c:pt>
                <c:pt idx="142">
                  <c:v>41.19</c:v>
                </c:pt>
                <c:pt idx="143">
                  <c:v>27.05</c:v>
                </c:pt>
                <c:pt idx="144">
                  <c:v>16.43</c:v>
                </c:pt>
                <c:pt idx="145">
                  <c:v>8.35</c:v>
                </c:pt>
                <c:pt idx="146">
                  <c:v>18.64</c:v>
                </c:pt>
                <c:pt idx="147">
                  <c:v>11.87</c:v>
                </c:pt>
                <c:pt idx="148">
                  <c:v>9.7799999999999994</c:v>
                </c:pt>
                <c:pt idx="149">
                  <c:v>7.51</c:v>
                </c:pt>
                <c:pt idx="150">
                  <c:v>14.07</c:v>
                </c:pt>
                <c:pt idx="151">
                  <c:v>13.13</c:v>
                </c:pt>
                <c:pt idx="152">
                  <c:v>17.260000000000002</c:v>
                </c:pt>
                <c:pt idx="153">
                  <c:v>24.55</c:v>
                </c:pt>
                <c:pt idx="154">
                  <c:v>19.77</c:v>
                </c:pt>
                <c:pt idx="155">
                  <c:v>29.85</c:v>
                </c:pt>
                <c:pt idx="156">
                  <c:v>48.17</c:v>
                </c:pt>
                <c:pt idx="157">
                  <c:v>25</c:v>
                </c:pt>
                <c:pt idx="158">
                  <c:v>13.39</c:v>
                </c:pt>
                <c:pt idx="159">
                  <c:v>16.489999999999998</c:v>
                </c:pt>
                <c:pt idx="160">
                  <c:v>21.5</c:v>
                </c:pt>
                <c:pt idx="161">
                  <c:v>12.66</c:v>
                </c:pt>
                <c:pt idx="162">
                  <c:v>16.21</c:v>
                </c:pt>
                <c:pt idx="163">
                  <c:v>13.81</c:v>
                </c:pt>
                <c:pt idx="164">
                  <c:v>17.510000000000002</c:v>
                </c:pt>
                <c:pt idx="165">
                  <c:v>24.52</c:v>
                </c:pt>
                <c:pt idx="166">
                  <c:v>20.76</c:v>
                </c:pt>
                <c:pt idx="167">
                  <c:v>31.71</c:v>
                </c:pt>
                <c:pt idx="168">
                  <c:v>10.59</c:v>
                </c:pt>
                <c:pt idx="169">
                  <c:v>10.63</c:v>
                </c:pt>
                <c:pt idx="170">
                  <c:v>50.81</c:v>
                </c:pt>
                <c:pt idx="171">
                  <c:v>15.81</c:v>
                </c:pt>
                <c:pt idx="172">
                  <c:v>7.25</c:v>
                </c:pt>
                <c:pt idx="173">
                  <c:v>31.85</c:v>
                </c:pt>
                <c:pt idx="174">
                  <c:v>16.82</c:v>
                </c:pt>
                <c:pt idx="175">
                  <c:v>32.9</c:v>
                </c:pt>
                <c:pt idx="176">
                  <c:v>17.89</c:v>
                </c:pt>
                <c:pt idx="177">
                  <c:v>14.48</c:v>
                </c:pt>
                <c:pt idx="178">
                  <c:v>9.6</c:v>
                </c:pt>
                <c:pt idx="179">
                  <c:v>34.630000000000003</c:v>
                </c:pt>
                <c:pt idx="180">
                  <c:v>34.65</c:v>
                </c:pt>
                <c:pt idx="181">
                  <c:v>23.33</c:v>
                </c:pt>
                <c:pt idx="182">
                  <c:v>45.35</c:v>
                </c:pt>
                <c:pt idx="183">
                  <c:v>23.17</c:v>
                </c:pt>
                <c:pt idx="184">
                  <c:v>40.549999999999997</c:v>
                </c:pt>
                <c:pt idx="185">
                  <c:v>20.69</c:v>
                </c:pt>
                <c:pt idx="186">
                  <c:v>20.9</c:v>
                </c:pt>
                <c:pt idx="187">
                  <c:v>30.46</c:v>
                </c:pt>
                <c:pt idx="188">
                  <c:v>18.149999999999999</c:v>
                </c:pt>
                <c:pt idx="189">
                  <c:v>23.1</c:v>
                </c:pt>
                <c:pt idx="190">
                  <c:v>15.69</c:v>
                </c:pt>
                <c:pt idx="191">
                  <c:v>19.809999999999999</c:v>
                </c:pt>
                <c:pt idx="192">
                  <c:v>28.44</c:v>
                </c:pt>
                <c:pt idx="193">
                  <c:v>15.48</c:v>
                </c:pt>
                <c:pt idx="194">
                  <c:v>16.579999999999998</c:v>
                </c:pt>
                <c:pt idx="195">
                  <c:v>7.56</c:v>
                </c:pt>
                <c:pt idx="196">
                  <c:v>10.34</c:v>
                </c:pt>
                <c:pt idx="197">
                  <c:v>43.11</c:v>
                </c:pt>
                <c:pt idx="198">
                  <c:v>13</c:v>
                </c:pt>
                <c:pt idx="199">
                  <c:v>13.51</c:v>
                </c:pt>
                <c:pt idx="200">
                  <c:v>18.71</c:v>
                </c:pt>
                <c:pt idx="201">
                  <c:v>12.74</c:v>
                </c:pt>
                <c:pt idx="202">
                  <c:v>13</c:v>
                </c:pt>
                <c:pt idx="203">
                  <c:v>16.399999999999999</c:v>
                </c:pt>
                <c:pt idx="204">
                  <c:v>20.53</c:v>
                </c:pt>
                <c:pt idx="205">
                  <c:v>16.47</c:v>
                </c:pt>
                <c:pt idx="206">
                  <c:v>26.59</c:v>
                </c:pt>
                <c:pt idx="207">
                  <c:v>38.729999999999997</c:v>
                </c:pt>
                <c:pt idx="208">
                  <c:v>24.27</c:v>
                </c:pt>
                <c:pt idx="209">
                  <c:v>12.76</c:v>
                </c:pt>
                <c:pt idx="210">
                  <c:v>30.06</c:v>
                </c:pt>
                <c:pt idx="211">
                  <c:v>25.89</c:v>
                </c:pt>
                <c:pt idx="212">
                  <c:v>48.33</c:v>
                </c:pt>
                <c:pt idx="213">
                  <c:v>13.27</c:v>
                </c:pt>
                <c:pt idx="214">
                  <c:v>28.17</c:v>
                </c:pt>
                <c:pt idx="215">
                  <c:v>12.9</c:v>
                </c:pt>
                <c:pt idx="216">
                  <c:v>28.15</c:v>
                </c:pt>
                <c:pt idx="217">
                  <c:v>11.59</c:v>
                </c:pt>
                <c:pt idx="218">
                  <c:v>7.74</c:v>
                </c:pt>
                <c:pt idx="219">
                  <c:v>30.14</c:v>
                </c:pt>
                <c:pt idx="220">
                  <c:v>12.16</c:v>
                </c:pt>
                <c:pt idx="221">
                  <c:v>13.42</c:v>
                </c:pt>
                <c:pt idx="222">
                  <c:v>8.58</c:v>
                </c:pt>
                <c:pt idx="223">
                  <c:v>15.98</c:v>
                </c:pt>
                <c:pt idx="224">
                  <c:v>13.42</c:v>
                </c:pt>
                <c:pt idx="225">
                  <c:v>16.27</c:v>
                </c:pt>
                <c:pt idx="226">
                  <c:v>10.09</c:v>
                </c:pt>
                <c:pt idx="227">
                  <c:v>20.45</c:v>
                </c:pt>
                <c:pt idx="228">
                  <c:v>13.28</c:v>
                </c:pt>
                <c:pt idx="229">
                  <c:v>22.12</c:v>
                </c:pt>
                <c:pt idx="230">
                  <c:v>24.01</c:v>
                </c:pt>
                <c:pt idx="231">
                  <c:v>15.69</c:v>
                </c:pt>
                <c:pt idx="232">
                  <c:v>11.61</c:v>
                </c:pt>
                <c:pt idx="233">
                  <c:v>10.77</c:v>
                </c:pt>
                <c:pt idx="234">
                  <c:v>15.53</c:v>
                </c:pt>
                <c:pt idx="235">
                  <c:v>10.07</c:v>
                </c:pt>
                <c:pt idx="236">
                  <c:v>12.6</c:v>
                </c:pt>
                <c:pt idx="237">
                  <c:v>32.83</c:v>
                </c:pt>
                <c:pt idx="238">
                  <c:v>35.83</c:v>
                </c:pt>
                <c:pt idx="239">
                  <c:v>29.03</c:v>
                </c:pt>
                <c:pt idx="240">
                  <c:v>27.18</c:v>
                </c:pt>
                <c:pt idx="241">
                  <c:v>22.67</c:v>
                </c:pt>
                <c:pt idx="242">
                  <c:v>17.82</c:v>
                </c:pt>
                <c:pt idx="243">
                  <c:v>18.78</c:v>
                </c:pt>
              </c:numCache>
            </c:numRef>
          </c:xVal>
          <c:yVal>
            <c:numRef>
              <c:f>tips!$G$2:$G$245</c:f>
              <c:numCache>
                <c:formatCode>[$$-409]#,##0.00</c:formatCode>
                <c:ptCount val="244"/>
                <c:pt idx="0">
                  <c:v>1.01</c:v>
                </c:pt>
                <c:pt idx="1">
                  <c:v>1.66</c:v>
                </c:pt>
                <c:pt idx="2">
                  <c:v>3.5</c:v>
                </c:pt>
                <c:pt idx="3">
                  <c:v>3.31</c:v>
                </c:pt>
                <c:pt idx="4">
                  <c:v>3.61</c:v>
                </c:pt>
                <c:pt idx="5">
                  <c:v>4.71</c:v>
                </c:pt>
                <c:pt idx="6">
                  <c:v>2</c:v>
                </c:pt>
                <c:pt idx="7">
                  <c:v>3.12</c:v>
                </c:pt>
                <c:pt idx="8">
                  <c:v>1.96</c:v>
                </c:pt>
                <c:pt idx="9">
                  <c:v>3.23</c:v>
                </c:pt>
                <c:pt idx="10">
                  <c:v>1.71</c:v>
                </c:pt>
                <c:pt idx="11">
                  <c:v>5</c:v>
                </c:pt>
                <c:pt idx="12">
                  <c:v>1.57</c:v>
                </c:pt>
                <c:pt idx="13">
                  <c:v>3</c:v>
                </c:pt>
                <c:pt idx="14">
                  <c:v>3.02</c:v>
                </c:pt>
                <c:pt idx="15">
                  <c:v>3.92</c:v>
                </c:pt>
                <c:pt idx="16">
                  <c:v>1.67</c:v>
                </c:pt>
                <c:pt idx="17">
                  <c:v>3.71</c:v>
                </c:pt>
                <c:pt idx="18">
                  <c:v>3.5</c:v>
                </c:pt>
                <c:pt idx="19">
                  <c:v>3.35</c:v>
                </c:pt>
                <c:pt idx="20">
                  <c:v>4.08</c:v>
                </c:pt>
                <c:pt idx="21">
                  <c:v>2.75</c:v>
                </c:pt>
                <c:pt idx="22">
                  <c:v>2.23</c:v>
                </c:pt>
                <c:pt idx="23">
                  <c:v>7.58</c:v>
                </c:pt>
                <c:pt idx="24">
                  <c:v>3.18</c:v>
                </c:pt>
                <c:pt idx="25">
                  <c:v>2.34</c:v>
                </c:pt>
                <c:pt idx="26">
                  <c:v>2</c:v>
                </c:pt>
                <c:pt idx="27">
                  <c:v>2</c:v>
                </c:pt>
                <c:pt idx="28">
                  <c:v>4.3</c:v>
                </c:pt>
                <c:pt idx="29">
                  <c:v>3</c:v>
                </c:pt>
                <c:pt idx="30">
                  <c:v>1.45</c:v>
                </c:pt>
                <c:pt idx="31">
                  <c:v>2.5</c:v>
                </c:pt>
                <c:pt idx="32">
                  <c:v>3</c:v>
                </c:pt>
                <c:pt idx="33">
                  <c:v>2.4500000000000002</c:v>
                </c:pt>
                <c:pt idx="34">
                  <c:v>3.27</c:v>
                </c:pt>
                <c:pt idx="35">
                  <c:v>3.6</c:v>
                </c:pt>
                <c:pt idx="36">
                  <c:v>2</c:v>
                </c:pt>
                <c:pt idx="37">
                  <c:v>3.07</c:v>
                </c:pt>
                <c:pt idx="38">
                  <c:v>2.31</c:v>
                </c:pt>
                <c:pt idx="39">
                  <c:v>5</c:v>
                </c:pt>
                <c:pt idx="40">
                  <c:v>2.2400000000000002</c:v>
                </c:pt>
                <c:pt idx="41">
                  <c:v>2.54</c:v>
                </c:pt>
                <c:pt idx="42">
                  <c:v>3.06</c:v>
                </c:pt>
                <c:pt idx="43">
                  <c:v>1.32</c:v>
                </c:pt>
                <c:pt idx="44">
                  <c:v>5.6</c:v>
                </c:pt>
                <c:pt idx="45">
                  <c:v>3</c:v>
                </c:pt>
                <c:pt idx="46">
                  <c:v>5</c:v>
                </c:pt>
                <c:pt idx="47">
                  <c:v>6</c:v>
                </c:pt>
                <c:pt idx="48">
                  <c:v>2.0499999999999998</c:v>
                </c:pt>
                <c:pt idx="49">
                  <c:v>3</c:v>
                </c:pt>
                <c:pt idx="50">
                  <c:v>2.5</c:v>
                </c:pt>
                <c:pt idx="51">
                  <c:v>2.6</c:v>
                </c:pt>
                <c:pt idx="52">
                  <c:v>5.2</c:v>
                </c:pt>
                <c:pt idx="53">
                  <c:v>1.56</c:v>
                </c:pt>
                <c:pt idx="54">
                  <c:v>4.34</c:v>
                </c:pt>
                <c:pt idx="55">
                  <c:v>3.51</c:v>
                </c:pt>
                <c:pt idx="56">
                  <c:v>3</c:v>
                </c:pt>
                <c:pt idx="57">
                  <c:v>1.5</c:v>
                </c:pt>
                <c:pt idx="58">
                  <c:v>1.76</c:v>
                </c:pt>
                <c:pt idx="59">
                  <c:v>6.73</c:v>
                </c:pt>
                <c:pt idx="60">
                  <c:v>3.21</c:v>
                </c:pt>
                <c:pt idx="61">
                  <c:v>2</c:v>
                </c:pt>
                <c:pt idx="62">
                  <c:v>1.98</c:v>
                </c:pt>
                <c:pt idx="63">
                  <c:v>3.76</c:v>
                </c:pt>
                <c:pt idx="64">
                  <c:v>2.64</c:v>
                </c:pt>
                <c:pt idx="65">
                  <c:v>3.15</c:v>
                </c:pt>
                <c:pt idx="66">
                  <c:v>2.4700000000000002</c:v>
                </c:pt>
                <c:pt idx="67">
                  <c:v>1</c:v>
                </c:pt>
                <c:pt idx="68">
                  <c:v>2.0099999999999998</c:v>
                </c:pt>
                <c:pt idx="69">
                  <c:v>2.09</c:v>
                </c:pt>
                <c:pt idx="70">
                  <c:v>1.97</c:v>
                </c:pt>
                <c:pt idx="71">
                  <c:v>3</c:v>
                </c:pt>
                <c:pt idx="72">
                  <c:v>3.14</c:v>
                </c:pt>
                <c:pt idx="73">
                  <c:v>5</c:v>
                </c:pt>
                <c:pt idx="74">
                  <c:v>2.2000000000000002</c:v>
                </c:pt>
                <c:pt idx="75">
                  <c:v>1.25</c:v>
                </c:pt>
                <c:pt idx="76">
                  <c:v>3.08</c:v>
                </c:pt>
                <c:pt idx="77">
                  <c:v>4</c:v>
                </c:pt>
                <c:pt idx="78">
                  <c:v>3</c:v>
                </c:pt>
                <c:pt idx="79">
                  <c:v>2.71</c:v>
                </c:pt>
                <c:pt idx="80">
                  <c:v>3</c:v>
                </c:pt>
                <c:pt idx="81">
                  <c:v>3.4</c:v>
                </c:pt>
                <c:pt idx="82">
                  <c:v>1.83</c:v>
                </c:pt>
                <c:pt idx="83">
                  <c:v>5</c:v>
                </c:pt>
                <c:pt idx="84">
                  <c:v>2.0299999999999998</c:v>
                </c:pt>
                <c:pt idx="85">
                  <c:v>5.17</c:v>
                </c:pt>
                <c:pt idx="86">
                  <c:v>2</c:v>
                </c:pt>
                <c:pt idx="87">
                  <c:v>4</c:v>
                </c:pt>
                <c:pt idx="88">
                  <c:v>5.85</c:v>
                </c:pt>
                <c:pt idx="89">
                  <c:v>3</c:v>
                </c:pt>
                <c:pt idx="90">
                  <c:v>3</c:v>
                </c:pt>
                <c:pt idx="91">
                  <c:v>3.5</c:v>
                </c:pt>
                <c:pt idx="92">
                  <c:v>1</c:v>
                </c:pt>
                <c:pt idx="93">
                  <c:v>4.3</c:v>
                </c:pt>
                <c:pt idx="94">
                  <c:v>3.25</c:v>
                </c:pt>
                <c:pt idx="95">
                  <c:v>4.7300000000000004</c:v>
                </c:pt>
                <c:pt idx="96">
                  <c:v>4</c:v>
                </c:pt>
                <c:pt idx="97">
                  <c:v>1.5</c:v>
                </c:pt>
                <c:pt idx="98">
                  <c:v>3</c:v>
                </c:pt>
                <c:pt idx="99">
                  <c:v>1.5</c:v>
                </c:pt>
                <c:pt idx="100">
                  <c:v>2.5</c:v>
                </c:pt>
                <c:pt idx="101">
                  <c:v>3</c:v>
                </c:pt>
                <c:pt idx="102">
                  <c:v>2.5</c:v>
                </c:pt>
                <c:pt idx="103">
                  <c:v>3.48</c:v>
                </c:pt>
                <c:pt idx="104">
                  <c:v>4.08</c:v>
                </c:pt>
                <c:pt idx="105">
                  <c:v>1.64</c:v>
                </c:pt>
                <c:pt idx="106">
                  <c:v>4.0599999999999996</c:v>
                </c:pt>
                <c:pt idx="107">
                  <c:v>4.29</c:v>
                </c:pt>
                <c:pt idx="108">
                  <c:v>3.76</c:v>
                </c:pt>
                <c:pt idx="109">
                  <c:v>4</c:v>
                </c:pt>
                <c:pt idx="110">
                  <c:v>3</c:v>
                </c:pt>
                <c:pt idx="111">
                  <c:v>1</c:v>
                </c:pt>
                <c:pt idx="112">
                  <c:v>4</c:v>
                </c:pt>
                <c:pt idx="113">
                  <c:v>2.5499999999999998</c:v>
                </c:pt>
                <c:pt idx="114">
                  <c:v>4</c:v>
                </c:pt>
                <c:pt idx="115">
                  <c:v>3.5</c:v>
                </c:pt>
                <c:pt idx="116">
                  <c:v>5.07</c:v>
                </c:pt>
                <c:pt idx="117">
                  <c:v>1.5</c:v>
                </c:pt>
                <c:pt idx="118">
                  <c:v>1.8</c:v>
                </c:pt>
                <c:pt idx="119">
                  <c:v>2.92</c:v>
                </c:pt>
                <c:pt idx="120">
                  <c:v>2.31</c:v>
                </c:pt>
                <c:pt idx="121">
                  <c:v>1.68</c:v>
                </c:pt>
                <c:pt idx="122">
                  <c:v>2.5</c:v>
                </c:pt>
                <c:pt idx="123">
                  <c:v>2</c:v>
                </c:pt>
                <c:pt idx="124">
                  <c:v>2.52</c:v>
                </c:pt>
                <c:pt idx="125">
                  <c:v>4.2</c:v>
                </c:pt>
                <c:pt idx="126">
                  <c:v>1.48</c:v>
                </c:pt>
                <c:pt idx="127">
                  <c:v>2</c:v>
                </c:pt>
                <c:pt idx="128">
                  <c:v>2</c:v>
                </c:pt>
                <c:pt idx="129">
                  <c:v>2.1800000000000002</c:v>
                </c:pt>
                <c:pt idx="130">
                  <c:v>1.5</c:v>
                </c:pt>
                <c:pt idx="131">
                  <c:v>2.83</c:v>
                </c:pt>
                <c:pt idx="132">
                  <c:v>1.5</c:v>
                </c:pt>
                <c:pt idx="133">
                  <c:v>2</c:v>
                </c:pt>
                <c:pt idx="134">
                  <c:v>3.25</c:v>
                </c:pt>
                <c:pt idx="135">
                  <c:v>1.25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2.75</c:v>
                </c:pt>
                <c:pt idx="140">
                  <c:v>3.5</c:v>
                </c:pt>
                <c:pt idx="141">
                  <c:v>6.7</c:v>
                </c:pt>
                <c:pt idx="142">
                  <c:v>5</c:v>
                </c:pt>
                <c:pt idx="143">
                  <c:v>5</c:v>
                </c:pt>
                <c:pt idx="144">
                  <c:v>2.2999999999999998</c:v>
                </c:pt>
                <c:pt idx="145">
                  <c:v>1.5</c:v>
                </c:pt>
                <c:pt idx="146">
                  <c:v>1.36</c:v>
                </c:pt>
                <c:pt idx="147">
                  <c:v>1.63</c:v>
                </c:pt>
                <c:pt idx="148">
                  <c:v>1.73</c:v>
                </c:pt>
                <c:pt idx="149">
                  <c:v>2</c:v>
                </c:pt>
                <c:pt idx="150">
                  <c:v>2.5</c:v>
                </c:pt>
                <c:pt idx="151">
                  <c:v>2</c:v>
                </c:pt>
                <c:pt idx="152">
                  <c:v>2.74</c:v>
                </c:pt>
                <c:pt idx="153">
                  <c:v>2</c:v>
                </c:pt>
                <c:pt idx="154">
                  <c:v>2</c:v>
                </c:pt>
                <c:pt idx="155">
                  <c:v>5.14</c:v>
                </c:pt>
                <c:pt idx="156">
                  <c:v>5</c:v>
                </c:pt>
                <c:pt idx="157">
                  <c:v>3.75</c:v>
                </c:pt>
                <c:pt idx="158">
                  <c:v>2.61</c:v>
                </c:pt>
                <c:pt idx="159">
                  <c:v>2</c:v>
                </c:pt>
                <c:pt idx="160">
                  <c:v>3.5</c:v>
                </c:pt>
                <c:pt idx="161">
                  <c:v>2.5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3.48</c:v>
                </c:pt>
                <c:pt idx="166">
                  <c:v>2.2400000000000002</c:v>
                </c:pt>
                <c:pt idx="167">
                  <c:v>4.5</c:v>
                </c:pt>
                <c:pt idx="168">
                  <c:v>1.61</c:v>
                </c:pt>
                <c:pt idx="169">
                  <c:v>2</c:v>
                </c:pt>
                <c:pt idx="170">
                  <c:v>10</c:v>
                </c:pt>
                <c:pt idx="171">
                  <c:v>3.16</c:v>
                </c:pt>
                <c:pt idx="172">
                  <c:v>5.15</c:v>
                </c:pt>
                <c:pt idx="173">
                  <c:v>3.18</c:v>
                </c:pt>
                <c:pt idx="174">
                  <c:v>4</c:v>
                </c:pt>
                <c:pt idx="175">
                  <c:v>3.11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3.55</c:v>
                </c:pt>
                <c:pt idx="180">
                  <c:v>3.68</c:v>
                </c:pt>
                <c:pt idx="181">
                  <c:v>5.65</c:v>
                </c:pt>
                <c:pt idx="182">
                  <c:v>3.5</c:v>
                </c:pt>
                <c:pt idx="183">
                  <c:v>6.5</c:v>
                </c:pt>
                <c:pt idx="184">
                  <c:v>3</c:v>
                </c:pt>
                <c:pt idx="185">
                  <c:v>5</c:v>
                </c:pt>
                <c:pt idx="186">
                  <c:v>3.5</c:v>
                </c:pt>
                <c:pt idx="187">
                  <c:v>2</c:v>
                </c:pt>
                <c:pt idx="188">
                  <c:v>3.5</c:v>
                </c:pt>
                <c:pt idx="189">
                  <c:v>4</c:v>
                </c:pt>
                <c:pt idx="190">
                  <c:v>1.5</c:v>
                </c:pt>
                <c:pt idx="191">
                  <c:v>4.1900000000000004</c:v>
                </c:pt>
                <c:pt idx="192">
                  <c:v>2.56</c:v>
                </c:pt>
                <c:pt idx="193">
                  <c:v>2.02</c:v>
                </c:pt>
                <c:pt idx="194">
                  <c:v>4</c:v>
                </c:pt>
                <c:pt idx="195">
                  <c:v>1.44</c:v>
                </c:pt>
                <c:pt idx="196">
                  <c:v>2</c:v>
                </c:pt>
                <c:pt idx="197">
                  <c:v>5</c:v>
                </c:pt>
                <c:pt idx="198">
                  <c:v>2</c:v>
                </c:pt>
                <c:pt idx="199">
                  <c:v>2</c:v>
                </c:pt>
                <c:pt idx="200">
                  <c:v>4</c:v>
                </c:pt>
                <c:pt idx="201">
                  <c:v>2.0099999999999998</c:v>
                </c:pt>
                <c:pt idx="202">
                  <c:v>2</c:v>
                </c:pt>
                <c:pt idx="203">
                  <c:v>2.5</c:v>
                </c:pt>
                <c:pt idx="204">
                  <c:v>4</c:v>
                </c:pt>
                <c:pt idx="205">
                  <c:v>3.23</c:v>
                </c:pt>
                <c:pt idx="206">
                  <c:v>3.41</c:v>
                </c:pt>
                <c:pt idx="207">
                  <c:v>3</c:v>
                </c:pt>
                <c:pt idx="208">
                  <c:v>2.0299999999999998</c:v>
                </c:pt>
                <c:pt idx="209">
                  <c:v>2.23</c:v>
                </c:pt>
                <c:pt idx="210">
                  <c:v>2</c:v>
                </c:pt>
                <c:pt idx="211">
                  <c:v>5.16</c:v>
                </c:pt>
                <c:pt idx="212">
                  <c:v>9</c:v>
                </c:pt>
                <c:pt idx="213">
                  <c:v>2.5</c:v>
                </c:pt>
                <c:pt idx="214">
                  <c:v>6.5</c:v>
                </c:pt>
                <c:pt idx="215">
                  <c:v>1.1000000000000001</c:v>
                </c:pt>
                <c:pt idx="216">
                  <c:v>3</c:v>
                </c:pt>
                <c:pt idx="217">
                  <c:v>1.5</c:v>
                </c:pt>
                <c:pt idx="218">
                  <c:v>1.44</c:v>
                </c:pt>
                <c:pt idx="219">
                  <c:v>3.09</c:v>
                </c:pt>
                <c:pt idx="220">
                  <c:v>2.2000000000000002</c:v>
                </c:pt>
                <c:pt idx="221">
                  <c:v>3.48</c:v>
                </c:pt>
                <c:pt idx="222">
                  <c:v>1.92</c:v>
                </c:pt>
                <c:pt idx="223">
                  <c:v>3</c:v>
                </c:pt>
                <c:pt idx="224">
                  <c:v>1.58</c:v>
                </c:pt>
                <c:pt idx="225">
                  <c:v>2.5</c:v>
                </c:pt>
                <c:pt idx="226">
                  <c:v>2</c:v>
                </c:pt>
                <c:pt idx="227">
                  <c:v>3</c:v>
                </c:pt>
                <c:pt idx="228">
                  <c:v>2.72</c:v>
                </c:pt>
                <c:pt idx="229">
                  <c:v>2.88</c:v>
                </c:pt>
                <c:pt idx="230">
                  <c:v>2</c:v>
                </c:pt>
                <c:pt idx="231">
                  <c:v>3</c:v>
                </c:pt>
                <c:pt idx="232">
                  <c:v>3.39</c:v>
                </c:pt>
                <c:pt idx="233">
                  <c:v>1.47</c:v>
                </c:pt>
                <c:pt idx="234">
                  <c:v>3</c:v>
                </c:pt>
                <c:pt idx="235">
                  <c:v>1.25</c:v>
                </c:pt>
                <c:pt idx="236">
                  <c:v>1</c:v>
                </c:pt>
                <c:pt idx="237">
                  <c:v>1.17</c:v>
                </c:pt>
                <c:pt idx="238">
                  <c:v>4.67</c:v>
                </c:pt>
                <c:pt idx="239">
                  <c:v>5.92</c:v>
                </c:pt>
                <c:pt idx="240">
                  <c:v>2</c:v>
                </c:pt>
                <c:pt idx="241">
                  <c:v>2</c:v>
                </c:pt>
                <c:pt idx="242">
                  <c:v>1.75</c:v>
                </c:pt>
                <c:pt idx="24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35-5C4B-9A52-AD573BC15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344223"/>
        <c:axId val="1491795423"/>
      </c:scatterChart>
      <c:valAx>
        <c:axId val="149134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795423"/>
        <c:crosses val="autoZero"/>
        <c:crossBetween val="midCat"/>
      </c:valAx>
      <c:valAx>
        <c:axId val="14917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34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592667</xdr:colOff>
      <xdr:row>234</xdr:row>
      <xdr:rowOff>148167</xdr:rowOff>
    </xdr:from>
    <xdr:to>
      <xdr:col>10</xdr:col>
      <xdr:colOff>2084917</xdr:colOff>
      <xdr:row>249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1F7BBE-14C6-D78C-24DF-92BA0B7FA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CC31-73F5-8647-9CB7-D93DFDFE86F5}">
  <dimension ref="A1:I18"/>
  <sheetViews>
    <sheetView zoomScale="120" zoomScaleNormal="120" workbookViewId="0"/>
  </sheetViews>
  <sheetFormatPr baseColWidth="10" defaultRowHeight="15" x14ac:dyDescent="0.2"/>
  <sheetData>
    <row r="1" spans="1:9" x14ac:dyDescent="0.2">
      <c r="A1" t="s">
        <v>32</v>
      </c>
    </row>
    <row r="2" spans="1:9" ht="16" thickBot="1" x14ac:dyDescent="0.25"/>
    <row r="3" spans="1:9" x14ac:dyDescent="0.2">
      <c r="A3" s="6" t="s">
        <v>33</v>
      </c>
      <c r="B3" s="6"/>
    </row>
    <row r="4" spans="1:9" x14ac:dyDescent="0.2">
      <c r="A4" s="3" t="s">
        <v>34</v>
      </c>
      <c r="B4" s="3">
        <v>0.6757341092113649</v>
      </c>
    </row>
    <row r="5" spans="1:9" x14ac:dyDescent="0.2">
      <c r="A5" s="3" t="s">
        <v>35</v>
      </c>
      <c r="B5" s="3">
        <v>0.45661658635167685</v>
      </c>
    </row>
    <row r="6" spans="1:9" x14ac:dyDescent="0.2">
      <c r="A6" s="3" t="s">
        <v>36</v>
      </c>
      <c r="B6" s="3">
        <v>0.45437120034486556</v>
      </c>
    </row>
    <row r="7" spans="1:9" x14ac:dyDescent="0.2">
      <c r="A7" s="3" t="s">
        <v>37</v>
      </c>
      <c r="B7" s="3">
        <v>1.0220477416247402</v>
      </c>
    </row>
    <row r="8" spans="1:9" ht="16" thickBot="1" x14ac:dyDescent="0.25">
      <c r="A8" s="4" t="s">
        <v>38</v>
      </c>
      <c r="B8" s="4">
        <v>244</v>
      </c>
    </row>
    <row r="10" spans="1:9" ht="16" thickBot="1" x14ac:dyDescent="0.25">
      <c r="A10" t="s">
        <v>39</v>
      </c>
    </row>
    <row r="11" spans="1:9" x14ac:dyDescent="0.2">
      <c r="A11" s="5"/>
      <c r="B11" s="5" t="s">
        <v>44</v>
      </c>
      <c r="C11" s="5" t="s">
        <v>45</v>
      </c>
      <c r="D11" s="5" t="s">
        <v>46</v>
      </c>
      <c r="E11" s="5" t="s">
        <v>47</v>
      </c>
      <c r="F11" s="5" t="s">
        <v>48</v>
      </c>
    </row>
    <row r="12" spans="1:9" x14ac:dyDescent="0.2">
      <c r="A12" s="3" t="s">
        <v>40</v>
      </c>
      <c r="B12" s="3">
        <v>1</v>
      </c>
      <c r="C12" s="3">
        <v>212.42373319840476</v>
      </c>
      <c r="D12" s="3">
        <v>212.42373319840476</v>
      </c>
      <c r="E12" s="3">
        <v>203.35772333423117</v>
      </c>
      <c r="F12" s="3">
        <v>6.6924706468629494E-34</v>
      </c>
    </row>
    <row r="13" spans="1:9" x14ac:dyDescent="0.2">
      <c r="A13" s="3" t="s">
        <v>41</v>
      </c>
      <c r="B13" s="3">
        <v>242</v>
      </c>
      <c r="C13" s="3">
        <v>252.78874385077609</v>
      </c>
      <c r="D13" s="3">
        <v>1.0445815861602317</v>
      </c>
      <c r="E13" s="3"/>
      <c r="F13" s="3"/>
    </row>
    <row r="14" spans="1:9" ht="16" thickBot="1" x14ac:dyDescent="0.25">
      <c r="A14" s="4" t="s">
        <v>42</v>
      </c>
      <c r="B14" s="4">
        <v>243</v>
      </c>
      <c r="C14" s="4">
        <v>465.21247704918085</v>
      </c>
      <c r="D14" s="4"/>
      <c r="E14" s="4"/>
      <c r="F14" s="4"/>
    </row>
    <row r="15" spans="1:9" ht="16" thickBot="1" x14ac:dyDescent="0.25"/>
    <row r="16" spans="1:9" x14ac:dyDescent="0.2">
      <c r="A16" s="5"/>
      <c r="B16" s="5" t="s">
        <v>49</v>
      </c>
      <c r="C16" s="5" t="s">
        <v>37</v>
      </c>
      <c r="D16" s="5" t="s">
        <v>50</v>
      </c>
      <c r="E16" s="5" t="s">
        <v>51</v>
      </c>
      <c r="F16" s="5" t="s">
        <v>52</v>
      </c>
      <c r="G16" s="5" t="s">
        <v>53</v>
      </c>
      <c r="H16" s="5" t="s">
        <v>54</v>
      </c>
      <c r="I16" s="5" t="s">
        <v>55</v>
      </c>
    </row>
    <row r="17" spans="1:9" x14ac:dyDescent="0.2">
      <c r="A17" s="3" t="s">
        <v>43</v>
      </c>
      <c r="B17" s="3">
        <v>0.92026961355467085</v>
      </c>
      <c r="C17" s="3">
        <v>0.15973474637643237</v>
      </c>
      <c r="D17" s="3">
        <v>5.7612362646881792</v>
      </c>
      <c r="E17" s="3">
        <v>2.5264434602897461E-8</v>
      </c>
      <c r="F17" s="3">
        <v>0.6056216926950877</v>
      </c>
      <c r="G17" s="3">
        <v>1.234917534414254</v>
      </c>
      <c r="H17" s="3">
        <v>0.6056216926950877</v>
      </c>
      <c r="I17" s="3">
        <v>1.234917534414254</v>
      </c>
    </row>
    <row r="18" spans="1:9" ht="16" thickBot="1" x14ac:dyDescent="0.25">
      <c r="A18" s="4" t="s">
        <v>5</v>
      </c>
      <c r="B18" s="4">
        <v>0.10502451738435348</v>
      </c>
      <c r="C18" s="4">
        <v>7.3647898487625959E-3</v>
      </c>
      <c r="D18" s="4">
        <v>14.260354951200583</v>
      </c>
      <c r="E18" s="4">
        <v>6.692470646863141E-34</v>
      </c>
      <c r="F18" s="4">
        <v>9.0517242880533838E-2</v>
      </c>
      <c r="G18" s="4">
        <v>0.11953179188817312</v>
      </c>
      <c r="H18" s="4">
        <v>9.0517242880533838E-2</v>
      </c>
      <c r="I18" s="4">
        <v>0.11953179188817312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dimension ref="A1:M245"/>
  <sheetViews>
    <sheetView tabSelected="1" topLeftCell="D1" zoomScale="120" zoomScaleNormal="120" workbookViewId="0">
      <selection activeCell="K24" sqref="K24"/>
    </sheetView>
  </sheetViews>
  <sheetFormatPr baseColWidth="10" defaultColWidth="13.5" defaultRowHeight="15" x14ac:dyDescent="0.2"/>
  <cols>
    <col min="6" max="6" width="14" customWidth="1"/>
    <col min="7" max="7" width="13.5" style="2"/>
    <col min="11" max="11" width="46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L1" t="s">
        <v>26</v>
      </c>
      <c r="M1" s="2">
        <f>AVERAGE(G2:G245)</f>
        <v>2.9982786885245902</v>
      </c>
    </row>
    <row r="2" spans="1:13" x14ac:dyDescent="0.2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16.989999999999998</v>
      </c>
      <c r="G2" s="2">
        <v>1.01</v>
      </c>
      <c r="L2" t="s">
        <v>27</v>
      </c>
      <c r="M2" s="2">
        <f>MAX(G2:G245)</f>
        <v>10</v>
      </c>
    </row>
    <row r="3" spans="1:13" x14ac:dyDescent="0.2">
      <c r="A3" t="s">
        <v>11</v>
      </c>
      <c r="B3" t="s">
        <v>8</v>
      </c>
      <c r="C3" t="s">
        <v>9</v>
      </c>
      <c r="D3" t="s">
        <v>10</v>
      </c>
      <c r="E3">
        <v>3</v>
      </c>
      <c r="F3">
        <v>10.34</v>
      </c>
      <c r="G3" s="2">
        <v>1.66</v>
      </c>
      <c r="J3" s="1" t="s">
        <v>12</v>
      </c>
      <c r="K3" s="1" t="s">
        <v>13</v>
      </c>
      <c r="L3" t="s">
        <v>28</v>
      </c>
      <c r="M3" s="2">
        <f>MIN(G2:G245)</f>
        <v>1</v>
      </c>
    </row>
    <row r="4" spans="1:13" x14ac:dyDescent="0.2">
      <c r="A4" t="s">
        <v>11</v>
      </c>
      <c r="B4" t="s">
        <v>8</v>
      </c>
      <c r="C4" t="s">
        <v>9</v>
      </c>
      <c r="D4" t="s">
        <v>10</v>
      </c>
      <c r="E4">
        <v>3</v>
      </c>
      <c r="F4">
        <v>21.01</v>
      </c>
      <c r="G4" s="2">
        <v>3.5</v>
      </c>
      <c r="J4" s="1" t="s">
        <v>1</v>
      </c>
      <c r="K4" s="1" t="s">
        <v>14</v>
      </c>
      <c r="L4" t="s">
        <v>29</v>
      </c>
      <c r="M4">
        <f>COUNT(G2:G245)</f>
        <v>244</v>
      </c>
    </row>
    <row r="5" spans="1:13" x14ac:dyDescent="0.2">
      <c r="A5" t="s">
        <v>11</v>
      </c>
      <c r="B5" t="s">
        <v>8</v>
      </c>
      <c r="C5" t="s">
        <v>9</v>
      </c>
      <c r="D5" t="s">
        <v>10</v>
      </c>
      <c r="E5">
        <v>2</v>
      </c>
      <c r="F5">
        <v>23.68</v>
      </c>
      <c r="G5" s="2">
        <v>3.31</v>
      </c>
      <c r="J5" s="1" t="s">
        <v>2</v>
      </c>
      <c r="K5" s="1" t="s">
        <v>15</v>
      </c>
    </row>
    <row r="6" spans="1:13" x14ac:dyDescent="0.2">
      <c r="A6" t="s">
        <v>7</v>
      </c>
      <c r="B6" t="s">
        <v>8</v>
      </c>
      <c r="C6" t="s">
        <v>9</v>
      </c>
      <c r="D6" t="s">
        <v>10</v>
      </c>
      <c r="E6">
        <v>4</v>
      </c>
      <c r="F6">
        <v>24.59</v>
      </c>
      <c r="G6" s="2">
        <v>3.61</v>
      </c>
      <c r="J6" s="1" t="s">
        <v>3</v>
      </c>
      <c r="K6" s="1" t="s">
        <v>16</v>
      </c>
    </row>
    <row r="7" spans="1:13" x14ac:dyDescent="0.2">
      <c r="A7" t="s">
        <v>11</v>
      </c>
      <c r="B7" t="s">
        <v>8</v>
      </c>
      <c r="C7" t="s">
        <v>9</v>
      </c>
      <c r="D7" t="s">
        <v>10</v>
      </c>
      <c r="E7">
        <v>4</v>
      </c>
      <c r="F7">
        <v>25.29</v>
      </c>
      <c r="G7" s="2">
        <v>4.71</v>
      </c>
      <c r="J7" s="1" t="s">
        <v>4</v>
      </c>
      <c r="K7" s="1" t="s">
        <v>17</v>
      </c>
      <c r="L7" t="s">
        <v>26</v>
      </c>
      <c r="M7" t="s">
        <v>30</v>
      </c>
    </row>
    <row r="8" spans="1:13" x14ac:dyDescent="0.2">
      <c r="A8" t="s">
        <v>11</v>
      </c>
      <c r="B8" t="s">
        <v>8</v>
      </c>
      <c r="C8" t="s">
        <v>9</v>
      </c>
      <c r="D8" t="s">
        <v>10</v>
      </c>
      <c r="E8">
        <v>2</v>
      </c>
      <c r="F8">
        <v>8.77</v>
      </c>
      <c r="G8" s="2">
        <v>2</v>
      </c>
      <c r="J8" s="1" t="s">
        <v>18</v>
      </c>
      <c r="K8" s="1" t="s">
        <v>19</v>
      </c>
      <c r="L8">
        <f>AVERAGEIF(C2:C245,"Sun",G2:G245)</f>
        <v>3.2551315789473692</v>
      </c>
      <c r="M8" t="s">
        <v>9</v>
      </c>
    </row>
    <row r="9" spans="1:13" x14ac:dyDescent="0.2">
      <c r="A9" t="s">
        <v>11</v>
      </c>
      <c r="B9" t="s">
        <v>8</v>
      </c>
      <c r="C9" t="s">
        <v>9</v>
      </c>
      <c r="D9" t="s">
        <v>10</v>
      </c>
      <c r="E9">
        <v>4</v>
      </c>
      <c r="F9">
        <v>26.88</v>
      </c>
      <c r="G9" s="2">
        <v>3.12</v>
      </c>
      <c r="J9" s="1" t="s">
        <v>6</v>
      </c>
      <c r="K9" s="1" t="s">
        <v>20</v>
      </c>
      <c r="L9">
        <f>AVERAGEIF(C2:C245,"Sat",G2:G245)</f>
        <v>2.9931034482758618</v>
      </c>
      <c r="M9" t="s">
        <v>21</v>
      </c>
    </row>
    <row r="10" spans="1:13" x14ac:dyDescent="0.2">
      <c r="A10" t="s">
        <v>11</v>
      </c>
      <c r="B10" t="s">
        <v>8</v>
      </c>
      <c r="C10" t="s">
        <v>9</v>
      </c>
      <c r="D10" t="s">
        <v>10</v>
      </c>
      <c r="E10">
        <v>2</v>
      </c>
      <c r="F10">
        <v>15.04</v>
      </c>
      <c r="G10" s="2">
        <v>1.96</v>
      </c>
      <c r="L10">
        <f>AVERAGEIF(C2:C245,"Fri",G2:G245)</f>
        <v>2.7347368421052631</v>
      </c>
      <c r="M10" t="s">
        <v>25</v>
      </c>
    </row>
    <row r="11" spans="1:13" x14ac:dyDescent="0.2">
      <c r="A11" t="s">
        <v>11</v>
      </c>
      <c r="B11" t="s">
        <v>8</v>
      </c>
      <c r="C11" t="s">
        <v>9</v>
      </c>
      <c r="D11" t="s">
        <v>10</v>
      </c>
      <c r="E11">
        <v>2</v>
      </c>
      <c r="F11">
        <v>14.78</v>
      </c>
      <c r="G11" s="2">
        <v>3.23</v>
      </c>
      <c r="L11">
        <f>AVERAGEIF(C2:C245,"Thur",G2:G245)</f>
        <v>2.7714516129032258</v>
      </c>
      <c r="M11" t="s">
        <v>23</v>
      </c>
    </row>
    <row r="12" spans="1:13" x14ac:dyDescent="0.2">
      <c r="A12" t="s">
        <v>11</v>
      </c>
      <c r="B12" t="s">
        <v>8</v>
      </c>
      <c r="C12" t="s">
        <v>9</v>
      </c>
      <c r="D12" t="s">
        <v>10</v>
      </c>
      <c r="E12">
        <v>2</v>
      </c>
      <c r="F12">
        <v>10.27</v>
      </c>
      <c r="G12" s="2">
        <v>1.71</v>
      </c>
    </row>
    <row r="13" spans="1:13" x14ac:dyDescent="0.2">
      <c r="A13" t="s">
        <v>7</v>
      </c>
      <c r="B13" t="s">
        <v>8</v>
      </c>
      <c r="C13" t="s">
        <v>9</v>
      </c>
      <c r="D13" t="s">
        <v>10</v>
      </c>
      <c r="E13">
        <v>4</v>
      </c>
      <c r="F13">
        <v>35.26</v>
      </c>
      <c r="G13" s="2">
        <v>5</v>
      </c>
    </row>
    <row r="14" spans="1:13" x14ac:dyDescent="0.2">
      <c r="A14" t="s">
        <v>11</v>
      </c>
      <c r="B14" t="s">
        <v>8</v>
      </c>
      <c r="C14" t="s">
        <v>9</v>
      </c>
      <c r="D14" t="s">
        <v>10</v>
      </c>
      <c r="E14">
        <v>2</v>
      </c>
      <c r="F14">
        <v>15.42</v>
      </c>
      <c r="G14" s="2">
        <v>1.57</v>
      </c>
      <c r="L14" t="s">
        <v>26</v>
      </c>
      <c r="M14" t="s">
        <v>31</v>
      </c>
    </row>
    <row r="15" spans="1:13" x14ac:dyDescent="0.2">
      <c r="A15" t="s">
        <v>11</v>
      </c>
      <c r="B15" t="s">
        <v>8</v>
      </c>
      <c r="C15" t="s">
        <v>9</v>
      </c>
      <c r="D15" t="s">
        <v>10</v>
      </c>
      <c r="E15">
        <v>4</v>
      </c>
      <c r="F15">
        <v>18.43</v>
      </c>
      <c r="G15" s="2">
        <v>3</v>
      </c>
      <c r="L15">
        <f>AVERAGEIF(B2:B245,"Yes",G2:G245)</f>
        <v>3.0087096774193549</v>
      </c>
      <c r="M15" t="s">
        <v>22</v>
      </c>
    </row>
    <row r="16" spans="1:13" x14ac:dyDescent="0.2">
      <c r="A16" t="s">
        <v>7</v>
      </c>
      <c r="B16" t="s">
        <v>8</v>
      </c>
      <c r="C16" t="s">
        <v>9</v>
      </c>
      <c r="D16" t="s">
        <v>10</v>
      </c>
      <c r="E16">
        <v>2</v>
      </c>
      <c r="F16">
        <v>14.83</v>
      </c>
      <c r="G16" s="2">
        <v>3.02</v>
      </c>
      <c r="L16">
        <f>AVERAGEIF(B2:B245,"No",G2:G245)</f>
        <v>2.9918543046357624</v>
      </c>
      <c r="M16" t="s">
        <v>8</v>
      </c>
    </row>
    <row r="17" spans="1:11" x14ac:dyDescent="0.2">
      <c r="A17" t="s">
        <v>11</v>
      </c>
      <c r="B17" t="s">
        <v>8</v>
      </c>
      <c r="C17" t="s">
        <v>9</v>
      </c>
      <c r="D17" t="s">
        <v>10</v>
      </c>
      <c r="E17">
        <v>2</v>
      </c>
      <c r="F17">
        <v>21.58</v>
      </c>
      <c r="G17" s="2">
        <v>3.92</v>
      </c>
      <c r="J17" t="s">
        <v>56</v>
      </c>
    </row>
    <row r="18" spans="1:11" x14ac:dyDescent="0.2">
      <c r="A18" t="s">
        <v>7</v>
      </c>
      <c r="B18" t="s">
        <v>8</v>
      </c>
      <c r="C18" t="s">
        <v>9</v>
      </c>
      <c r="D18" t="s">
        <v>10</v>
      </c>
      <c r="E18">
        <v>3</v>
      </c>
      <c r="F18">
        <v>10.33</v>
      </c>
      <c r="G18" s="2">
        <v>1.67</v>
      </c>
      <c r="J18" t="s">
        <v>58</v>
      </c>
      <c r="K18">
        <f>0.92026961 + (0.10502452 * 20)</f>
        <v>3.0207600100000001</v>
      </c>
    </row>
    <row r="19" spans="1:11" x14ac:dyDescent="0.2">
      <c r="A19" t="s">
        <v>11</v>
      </c>
      <c r="B19" t="s">
        <v>8</v>
      </c>
      <c r="C19" t="s">
        <v>9</v>
      </c>
      <c r="D19" t="s">
        <v>10</v>
      </c>
      <c r="E19">
        <v>3</v>
      </c>
      <c r="F19">
        <v>16.29</v>
      </c>
      <c r="G19" s="2">
        <v>3.71</v>
      </c>
      <c r="J19" t="s">
        <v>57</v>
      </c>
      <c r="K19">
        <f>0.92026961 + (0.10502452 * 10)</f>
        <v>1.9705148100000001</v>
      </c>
    </row>
    <row r="20" spans="1:11" x14ac:dyDescent="0.2">
      <c r="A20" t="s">
        <v>7</v>
      </c>
      <c r="B20" t="s">
        <v>8</v>
      </c>
      <c r="C20" t="s">
        <v>9</v>
      </c>
      <c r="D20" t="s">
        <v>10</v>
      </c>
      <c r="E20">
        <v>3</v>
      </c>
      <c r="F20">
        <v>16.97</v>
      </c>
      <c r="G20" s="2">
        <v>3.5</v>
      </c>
      <c r="J20" t="s">
        <v>59</v>
      </c>
      <c r="K20">
        <f>0.92026961 + (0.10502452 * 50)</f>
        <v>6.17149561</v>
      </c>
    </row>
    <row r="21" spans="1:11" x14ac:dyDescent="0.2">
      <c r="A21" t="s">
        <v>11</v>
      </c>
      <c r="B21" t="s">
        <v>8</v>
      </c>
      <c r="C21" t="s">
        <v>21</v>
      </c>
      <c r="D21" t="s">
        <v>10</v>
      </c>
      <c r="E21">
        <v>3</v>
      </c>
      <c r="F21">
        <v>20.65</v>
      </c>
      <c r="G21" s="2">
        <v>3.35</v>
      </c>
      <c r="J21" t="s">
        <v>60</v>
      </c>
      <c r="K21">
        <f>0.92026961 + (0.10502452 * 100)</f>
        <v>11.42272161</v>
      </c>
    </row>
    <row r="22" spans="1:11" x14ac:dyDescent="0.2">
      <c r="A22" t="s">
        <v>11</v>
      </c>
      <c r="B22" t="s">
        <v>8</v>
      </c>
      <c r="C22" t="s">
        <v>21</v>
      </c>
      <c r="D22" t="s">
        <v>10</v>
      </c>
      <c r="E22">
        <v>2</v>
      </c>
      <c r="F22">
        <v>17.920000000000002</v>
      </c>
      <c r="G22" s="2">
        <v>4.08</v>
      </c>
      <c r="J22" t="s">
        <v>61</v>
      </c>
      <c r="K22">
        <f>0.92026961 + (0.10502452 * 200)</f>
        <v>21.925173609999998</v>
      </c>
    </row>
    <row r="23" spans="1:11" x14ac:dyDescent="0.2">
      <c r="A23" t="s">
        <v>7</v>
      </c>
      <c r="B23" t="s">
        <v>8</v>
      </c>
      <c r="C23" t="s">
        <v>21</v>
      </c>
      <c r="D23" t="s">
        <v>10</v>
      </c>
      <c r="E23">
        <v>2</v>
      </c>
      <c r="F23">
        <v>20.29</v>
      </c>
      <c r="G23" s="2">
        <v>2.75</v>
      </c>
      <c r="J23" t="s">
        <v>62</v>
      </c>
      <c r="K23">
        <f>0.92026961 + (0.10502452 * 244)</f>
        <v>26.546252489999997</v>
      </c>
    </row>
    <row r="24" spans="1:11" x14ac:dyDescent="0.2">
      <c r="A24" t="s">
        <v>7</v>
      </c>
      <c r="B24" t="s">
        <v>8</v>
      </c>
      <c r="C24" t="s">
        <v>21</v>
      </c>
      <c r="D24" t="s">
        <v>10</v>
      </c>
      <c r="E24">
        <v>2</v>
      </c>
      <c r="F24">
        <v>15.77</v>
      </c>
      <c r="G24" s="2">
        <v>2.23</v>
      </c>
    </row>
    <row r="25" spans="1:11" x14ac:dyDescent="0.2">
      <c r="A25" t="s">
        <v>11</v>
      </c>
      <c r="B25" t="s">
        <v>8</v>
      </c>
      <c r="C25" t="s">
        <v>21</v>
      </c>
      <c r="D25" t="s">
        <v>10</v>
      </c>
      <c r="E25">
        <v>4</v>
      </c>
      <c r="F25">
        <v>39.42</v>
      </c>
      <c r="G25" s="2">
        <v>7.58</v>
      </c>
    </row>
    <row r="26" spans="1:11" x14ac:dyDescent="0.2">
      <c r="A26" t="s">
        <v>11</v>
      </c>
      <c r="B26" t="s">
        <v>8</v>
      </c>
      <c r="C26" t="s">
        <v>21</v>
      </c>
      <c r="D26" t="s">
        <v>10</v>
      </c>
      <c r="E26">
        <v>2</v>
      </c>
      <c r="F26">
        <v>19.82</v>
      </c>
      <c r="G26" s="2">
        <v>3.18</v>
      </c>
    </row>
    <row r="27" spans="1:11" x14ac:dyDescent="0.2">
      <c r="A27" t="s">
        <v>11</v>
      </c>
      <c r="B27" t="s">
        <v>8</v>
      </c>
      <c r="C27" t="s">
        <v>21</v>
      </c>
      <c r="D27" t="s">
        <v>10</v>
      </c>
      <c r="E27">
        <v>4</v>
      </c>
      <c r="F27">
        <v>17.809999999999999</v>
      </c>
      <c r="G27" s="2">
        <v>2.34</v>
      </c>
    </row>
    <row r="28" spans="1:11" x14ac:dyDescent="0.2">
      <c r="A28" t="s">
        <v>11</v>
      </c>
      <c r="B28" t="s">
        <v>8</v>
      </c>
      <c r="C28" t="s">
        <v>21</v>
      </c>
      <c r="D28" t="s">
        <v>10</v>
      </c>
      <c r="E28">
        <v>2</v>
      </c>
      <c r="F28">
        <v>13.37</v>
      </c>
      <c r="G28" s="2">
        <v>2</v>
      </c>
    </row>
    <row r="29" spans="1:11" x14ac:dyDescent="0.2">
      <c r="A29" t="s">
        <v>11</v>
      </c>
      <c r="B29" t="s">
        <v>8</v>
      </c>
      <c r="C29" t="s">
        <v>21</v>
      </c>
      <c r="D29" t="s">
        <v>10</v>
      </c>
      <c r="E29">
        <v>2</v>
      </c>
      <c r="F29">
        <v>12.69</v>
      </c>
      <c r="G29" s="2">
        <v>2</v>
      </c>
    </row>
    <row r="30" spans="1:11" x14ac:dyDescent="0.2">
      <c r="A30" t="s">
        <v>11</v>
      </c>
      <c r="B30" t="s">
        <v>8</v>
      </c>
      <c r="C30" t="s">
        <v>21</v>
      </c>
      <c r="D30" t="s">
        <v>10</v>
      </c>
      <c r="E30">
        <v>2</v>
      </c>
      <c r="F30">
        <v>21.7</v>
      </c>
      <c r="G30" s="2">
        <v>4.3</v>
      </c>
    </row>
    <row r="31" spans="1:11" x14ac:dyDescent="0.2">
      <c r="A31" t="s">
        <v>7</v>
      </c>
      <c r="B31" t="s">
        <v>8</v>
      </c>
      <c r="C31" t="s">
        <v>21</v>
      </c>
      <c r="D31" t="s">
        <v>10</v>
      </c>
      <c r="E31">
        <v>2</v>
      </c>
      <c r="F31">
        <v>19.649999999999999</v>
      </c>
      <c r="G31" s="2">
        <v>3</v>
      </c>
    </row>
    <row r="32" spans="1:11" x14ac:dyDescent="0.2">
      <c r="A32" t="s">
        <v>11</v>
      </c>
      <c r="B32" t="s">
        <v>8</v>
      </c>
      <c r="C32" t="s">
        <v>21</v>
      </c>
      <c r="D32" t="s">
        <v>10</v>
      </c>
      <c r="E32">
        <v>2</v>
      </c>
      <c r="F32">
        <v>9.5500000000000007</v>
      </c>
      <c r="G32" s="2">
        <v>1.45</v>
      </c>
    </row>
    <row r="33" spans="1:7" x14ac:dyDescent="0.2">
      <c r="A33" t="s">
        <v>11</v>
      </c>
      <c r="B33" t="s">
        <v>8</v>
      </c>
      <c r="C33" t="s">
        <v>21</v>
      </c>
      <c r="D33" t="s">
        <v>10</v>
      </c>
      <c r="E33">
        <v>4</v>
      </c>
      <c r="F33">
        <v>18.350000000000001</v>
      </c>
      <c r="G33" s="2">
        <v>2.5</v>
      </c>
    </row>
    <row r="34" spans="1:7" x14ac:dyDescent="0.2">
      <c r="A34" t="s">
        <v>7</v>
      </c>
      <c r="B34" t="s">
        <v>8</v>
      </c>
      <c r="C34" t="s">
        <v>21</v>
      </c>
      <c r="D34" t="s">
        <v>10</v>
      </c>
      <c r="E34">
        <v>2</v>
      </c>
      <c r="F34">
        <v>15.06</v>
      </c>
      <c r="G34" s="2">
        <v>3</v>
      </c>
    </row>
    <row r="35" spans="1:7" x14ac:dyDescent="0.2">
      <c r="A35" t="s">
        <v>7</v>
      </c>
      <c r="B35" t="s">
        <v>8</v>
      </c>
      <c r="C35" t="s">
        <v>21</v>
      </c>
      <c r="D35" t="s">
        <v>10</v>
      </c>
      <c r="E35">
        <v>4</v>
      </c>
      <c r="F35">
        <v>20.69</v>
      </c>
      <c r="G35" s="2">
        <v>2.4500000000000002</v>
      </c>
    </row>
    <row r="36" spans="1:7" x14ac:dyDescent="0.2">
      <c r="A36" t="s">
        <v>11</v>
      </c>
      <c r="B36" t="s">
        <v>8</v>
      </c>
      <c r="C36" t="s">
        <v>21</v>
      </c>
      <c r="D36" t="s">
        <v>10</v>
      </c>
      <c r="E36">
        <v>2</v>
      </c>
      <c r="F36">
        <v>17.78</v>
      </c>
      <c r="G36" s="2">
        <v>3.27</v>
      </c>
    </row>
    <row r="37" spans="1:7" x14ac:dyDescent="0.2">
      <c r="A37" t="s">
        <v>11</v>
      </c>
      <c r="B37" t="s">
        <v>8</v>
      </c>
      <c r="C37" t="s">
        <v>21</v>
      </c>
      <c r="D37" t="s">
        <v>10</v>
      </c>
      <c r="E37">
        <v>3</v>
      </c>
      <c r="F37">
        <v>24.06</v>
      </c>
      <c r="G37" s="2">
        <v>3.6</v>
      </c>
    </row>
    <row r="38" spans="1:7" x14ac:dyDescent="0.2">
      <c r="A38" t="s">
        <v>11</v>
      </c>
      <c r="B38" t="s">
        <v>8</v>
      </c>
      <c r="C38" t="s">
        <v>21</v>
      </c>
      <c r="D38" t="s">
        <v>10</v>
      </c>
      <c r="E38">
        <v>3</v>
      </c>
      <c r="F38">
        <v>16.309999999999999</v>
      </c>
      <c r="G38" s="2">
        <v>2</v>
      </c>
    </row>
    <row r="39" spans="1:7" x14ac:dyDescent="0.2">
      <c r="A39" t="s">
        <v>7</v>
      </c>
      <c r="B39" t="s">
        <v>8</v>
      </c>
      <c r="C39" t="s">
        <v>21</v>
      </c>
      <c r="D39" t="s">
        <v>10</v>
      </c>
      <c r="E39">
        <v>3</v>
      </c>
      <c r="F39">
        <v>16.93</v>
      </c>
      <c r="G39" s="2">
        <v>3.07</v>
      </c>
    </row>
    <row r="40" spans="1:7" x14ac:dyDescent="0.2">
      <c r="A40" t="s">
        <v>11</v>
      </c>
      <c r="B40" t="s">
        <v>8</v>
      </c>
      <c r="C40" t="s">
        <v>21</v>
      </c>
      <c r="D40" t="s">
        <v>10</v>
      </c>
      <c r="E40">
        <v>3</v>
      </c>
      <c r="F40">
        <v>18.690000000000001</v>
      </c>
      <c r="G40" s="2">
        <v>2.31</v>
      </c>
    </row>
    <row r="41" spans="1:7" x14ac:dyDescent="0.2">
      <c r="A41" t="s">
        <v>11</v>
      </c>
      <c r="B41" t="s">
        <v>8</v>
      </c>
      <c r="C41" t="s">
        <v>21</v>
      </c>
      <c r="D41" t="s">
        <v>10</v>
      </c>
      <c r="E41">
        <v>3</v>
      </c>
      <c r="F41">
        <v>31.27</v>
      </c>
      <c r="G41" s="2">
        <v>5</v>
      </c>
    </row>
    <row r="42" spans="1:7" x14ac:dyDescent="0.2">
      <c r="A42" t="s">
        <v>11</v>
      </c>
      <c r="B42" t="s">
        <v>8</v>
      </c>
      <c r="C42" t="s">
        <v>21</v>
      </c>
      <c r="D42" t="s">
        <v>10</v>
      </c>
      <c r="E42">
        <v>3</v>
      </c>
      <c r="F42">
        <v>16.04</v>
      </c>
      <c r="G42" s="2">
        <v>2.2400000000000002</v>
      </c>
    </row>
    <row r="43" spans="1:7" x14ac:dyDescent="0.2">
      <c r="A43" t="s">
        <v>11</v>
      </c>
      <c r="B43" t="s">
        <v>8</v>
      </c>
      <c r="C43" t="s">
        <v>9</v>
      </c>
      <c r="D43" t="s">
        <v>10</v>
      </c>
      <c r="E43">
        <v>2</v>
      </c>
      <c r="F43">
        <v>17.46</v>
      </c>
      <c r="G43" s="2">
        <v>2.54</v>
      </c>
    </row>
    <row r="44" spans="1:7" x14ac:dyDescent="0.2">
      <c r="A44" t="s">
        <v>11</v>
      </c>
      <c r="B44" t="s">
        <v>8</v>
      </c>
      <c r="C44" t="s">
        <v>9</v>
      </c>
      <c r="D44" t="s">
        <v>10</v>
      </c>
      <c r="E44">
        <v>2</v>
      </c>
      <c r="F44">
        <v>13.94</v>
      </c>
      <c r="G44" s="2">
        <v>3.06</v>
      </c>
    </row>
    <row r="45" spans="1:7" x14ac:dyDescent="0.2">
      <c r="A45" t="s">
        <v>11</v>
      </c>
      <c r="B45" t="s">
        <v>8</v>
      </c>
      <c r="C45" t="s">
        <v>9</v>
      </c>
      <c r="D45" t="s">
        <v>10</v>
      </c>
      <c r="E45">
        <v>2</v>
      </c>
      <c r="F45">
        <v>9.68</v>
      </c>
      <c r="G45" s="2">
        <v>1.32</v>
      </c>
    </row>
    <row r="46" spans="1:7" x14ac:dyDescent="0.2">
      <c r="A46" t="s">
        <v>11</v>
      </c>
      <c r="B46" t="s">
        <v>8</v>
      </c>
      <c r="C46" t="s">
        <v>9</v>
      </c>
      <c r="D46" t="s">
        <v>10</v>
      </c>
      <c r="E46">
        <v>4</v>
      </c>
      <c r="F46">
        <v>30.4</v>
      </c>
      <c r="G46" s="2">
        <v>5.6</v>
      </c>
    </row>
    <row r="47" spans="1:7" x14ac:dyDescent="0.2">
      <c r="A47" t="s">
        <v>11</v>
      </c>
      <c r="B47" t="s">
        <v>8</v>
      </c>
      <c r="C47" t="s">
        <v>9</v>
      </c>
      <c r="D47" t="s">
        <v>10</v>
      </c>
      <c r="E47">
        <v>2</v>
      </c>
      <c r="F47">
        <v>18.29</v>
      </c>
      <c r="G47" s="2">
        <v>3</v>
      </c>
    </row>
    <row r="48" spans="1:7" x14ac:dyDescent="0.2">
      <c r="A48" t="s">
        <v>11</v>
      </c>
      <c r="B48" t="s">
        <v>8</v>
      </c>
      <c r="C48" t="s">
        <v>9</v>
      </c>
      <c r="D48" t="s">
        <v>10</v>
      </c>
      <c r="E48">
        <v>2</v>
      </c>
      <c r="F48">
        <v>22.23</v>
      </c>
      <c r="G48" s="2">
        <v>5</v>
      </c>
    </row>
    <row r="49" spans="1:7" x14ac:dyDescent="0.2">
      <c r="A49" t="s">
        <v>11</v>
      </c>
      <c r="B49" t="s">
        <v>8</v>
      </c>
      <c r="C49" t="s">
        <v>9</v>
      </c>
      <c r="D49" t="s">
        <v>10</v>
      </c>
      <c r="E49">
        <v>4</v>
      </c>
      <c r="F49">
        <v>32.4</v>
      </c>
      <c r="G49" s="2">
        <v>6</v>
      </c>
    </row>
    <row r="50" spans="1:7" x14ac:dyDescent="0.2">
      <c r="A50" t="s">
        <v>11</v>
      </c>
      <c r="B50" t="s">
        <v>8</v>
      </c>
      <c r="C50" t="s">
        <v>9</v>
      </c>
      <c r="D50" t="s">
        <v>10</v>
      </c>
      <c r="E50">
        <v>3</v>
      </c>
      <c r="F50">
        <v>28.55</v>
      </c>
      <c r="G50" s="2">
        <v>2.0499999999999998</v>
      </c>
    </row>
    <row r="51" spans="1:7" x14ac:dyDescent="0.2">
      <c r="A51" t="s">
        <v>11</v>
      </c>
      <c r="B51" t="s">
        <v>8</v>
      </c>
      <c r="C51" t="s">
        <v>9</v>
      </c>
      <c r="D51" t="s">
        <v>10</v>
      </c>
      <c r="E51">
        <v>2</v>
      </c>
      <c r="F51">
        <v>18.04</v>
      </c>
      <c r="G51" s="2">
        <v>3</v>
      </c>
    </row>
    <row r="52" spans="1:7" x14ac:dyDescent="0.2">
      <c r="A52" t="s">
        <v>11</v>
      </c>
      <c r="B52" t="s">
        <v>8</v>
      </c>
      <c r="C52" t="s">
        <v>9</v>
      </c>
      <c r="D52" t="s">
        <v>10</v>
      </c>
      <c r="E52">
        <v>2</v>
      </c>
      <c r="F52">
        <v>12.54</v>
      </c>
      <c r="G52" s="2">
        <v>2.5</v>
      </c>
    </row>
    <row r="53" spans="1:7" x14ac:dyDescent="0.2">
      <c r="A53" t="s">
        <v>7</v>
      </c>
      <c r="B53" t="s">
        <v>8</v>
      </c>
      <c r="C53" t="s">
        <v>9</v>
      </c>
      <c r="D53" t="s">
        <v>10</v>
      </c>
      <c r="E53">
        <v>2</v>
      </c>
      <c r="F53">
        <v>10.29</v>
      </c>
      <c r="G53" s="2">
        <v>2.6</v>
      </c>
    </row>
    <row r="54" spans="1:7" x14ac:dyDescent="0.2">
      <c r="A54" t="s">
        <v>7</v>
      </c>
      <c r="B54" t="s">
        <v>8</v>
      </c>
      <c r="C54" t="s">
        <v>9</v>
      </c>
      <c r="D54" t="s">
        <v>10</v>
      </c>
      <c r="E54">
        <v>4</v>
      </c>
      <c r="F54">
        <v>34.81</v>
      </c>
      <c r="G54" s="2">
        <v>5.2</v>
      </c>
    </row>
    <row r="55" spans="1:7" x14ac:dyDescent="0.2">
      <c r="A55" t="s">
        <v>11</v>
      </c>
      <c r="B55" t="s">
        <v>8</v>
      </c>
      <c r="C55" t="s">
        <v>9</v>
      </c>
      <c r="D55" t="s">
        <v>10</v>
      </c>
      <c r="E55">
        <v>2</v>
      </c>
      <c r="F55">
        <v>9.94</v>
      </c>
      <c r="G55" s="2">
        <v>1.56</v>
      </c>
    </row>
    <row r="56" spans="1:7" x14ac:dyDescent="0.2">
      <c r="A56" t="s">
        <v>11</v>
      </c>
      <c r="B56" t="s">
        <v>8</v>
      </c>
      <c r="C56" t="s">
        <v>9</v>
      </c>
      <c r="D56" t="s">
        <v>10</v>
      </c>
      <c r="E56">
        <v>4</v>
      </c>
      <c r="F56">
        <v>25.56</v>
      </c>
      <c r="G56" s="2">
        <v>4.34</v>
      </c>
    </row>
    <row r="57" spans="1:7" x14ac:dyDescent="0.2">
      <c r="A57" t="s">
        <v>11</v>
      </c>
      <c r="B57" t="s">
        <v>8</v>
      </c>
      <c r="C57" t="s">
        <v>9</v>
      </c>
      <c r="D57" t="s">
        <v>10</v>
      </c>
      <c r="E57">
        <v>2</v>
      </c>
      <c r="F57">
        <v>19.489999999999998</v>
      </c>
      <c r="G57" s="2">
        <v>3.51</v>
      </c>
    </row>
    <row r="58" spans="1:7" x14ac:dyDescent="0.2">
      <c r="A58" t="s">
        <v>11</v>
      </c>
      <c r="B58" t="s">
        <v>22</v>
      </c>
      <c r="C58" t="s">
        <v>21</v>
      </c>
      <c r="D58" t="s">
        <v>10</v>
      </c>
      <c r="E58">
        <v>4</v>
      </c>
      <c r="F58">
        <v>38.01</v>
      </c>
      <c r="G58" s="2">
        <v>3</v>
      </c>
    </row>
    <row r="59" spans="1:7" x14ac:dyDescent="0.2">
      <c r="A59" t="s">
        <v>7</v>
      </c>
      <c r="B59" t="s">
        <v>8</v>
      </c>
      <c r="C59" t="s">
        <v>21</v>
      </c>
      <c r="D59" t="s">
        <v>10</v>
      </c>
      <c r="E59">
        <v>2</v>
      </c>
      <c r="F59">
        <v>26.41</v>
      </c>
      <c r="G59" s="2">
        <v>1.5</v>
      </c>
    </row>
    <row r="60" spans="1:7" x14ac:dyDescent="0.2">
      <c r="A60" t="s">
        <v>11</v>
      </c>
      <c r="B60" t="s">
        <v>22</v>
      </c>
      <c r="C60" t="s">
        <v>21</v>
      </c>
      <c r="D60" t="s">
        <v>10</v>
      </c>
      <c r="E60">
        <v>2</v>
      </c>
      <c r="F60">
        <v>11.24</v>
      </c>
      <c r="G60" s="2">
        <v>1.76</v>
      </c>
    </row>
    <row r="61" spans="1:7" x14ac:dyDescent="0.2">
      <c r="A61" t="s">
        <v>11</v>
      </c>
      <c r="B61" t="s">
        <v>8</v>
      </c>
      <c r="C61" t="s">
        <v>21</v>
      </c>
      <c r="D61" t="s">
        <v>10</v>
      </c>
      <c r="E61">
        <v>4</v>
      </c>
      <c r="F61">
        <v>48.27</v>
      </c>
      <c r="G61" s="2">
        <v>6.73</v>
      </c>
    </row>
    <row r="62" spans="1:7" x14ac:dyDescent="0.2">
      <c r="A62" t="s">
        <v>11</v>
      </c>
      <c r="B62" t="s">
        <v>22</v>
      </c>
      <c r="C62" t="s">
        <v>21</v>
      </c>
      <c r="D62" t="s">
        <v>10</v>
      </c>
      <c r="E62">
        <v>2</v>
      </c>
      <c r="F62">
        <v>20.29</v>
      </c>
      <c r="G62" s="2">
        <v>3.21</v>
      </c>
    </row>
    <row r="63" spans="1:7" x14ac:dyDescent="0.2">
      <c r="A63" t="s">
        <v>11</v>
      </c>
      <c r="B63" t="s">
        <v>22</v>
      </c>
      <c r="C63" t="s">
        <v>21</v>
      </c>
      <c r="D63" t="s">
        <v>10</v>
      </c>
      <c r="E63">
        <v>2</v>
      </c>
      <c r="F63">
        <v>13.81</v>
      </c>
      <c r="G63" s="2">
        <v>2</v>
      </c>
    </row>
    <row r="64" spans="1:7" x14ac:dyDescent="0.2">
      <c r="A64" t="s">
        <v>11</v>
      </c>
      <c r="B64" t="s">
        <v>22</v>
      </c>
      <c r="C64" t="s">
        <v>21</v>
      </c>
      <c r="D64" t="s">
        <v>10</v>
      </c>
      <c r="E64">
        <v>2</v>
      </c>
      <c r="F64">
        <v>11.02</v>
      </c>
      <c r="G64" s="2">
        <v>1.98</v>
      </c>
    </row>
    <row r="65" spans="1:7" x14ac:dyDescent="0.2">
      <c r="A65" t="s">
        <v>11</v>
      </c>
      <c r="B65" t="s">
        <v>22</v>
      </c>
      <c r="C65" t="s">
        <v>21</v>
      </c>
      <c r="D65" t="s">
        <v>10</v>
      </c>
      <c r="E65">
        <v>4</v>
      </c>
      <c r="F65">
        <v>18.29</v>
      </c>
      <c r="G65" s="2">
        <v>3.76</v>
      </c>
    </row>
    <row r="66" spans="1:7" x14ac:dyDescent="0.2">
      <c r="A66" t="s">
        <v>11</v>
      </c>
      <c r="B66" t="s">
        <v>8</v>
      </c>
      <c r="C66" t="s">
        <v>21</v>
      </c>
      <c r="D66" t="s">
        <v>10</v>
      </c>
      <c r="E66">
        <v>3</v>
      </c>
      <c r="F66">
        <v>17.59</v>
      </c>
      <c r="G66" s="2">
        <v>2.64</v>
      </c>
    </row>
    <row r="67" spans="1:7" x14ac:dyDescent="0.2">
      <c r="A67" t="s">
        <v>11</v>
      </c>
      <c r="B67" t="s">
        <v>8</v>
      </c>
      <c r="C67" t="s">
        <v>21</v>
      </c>
      <c r="D67" t="s">
        <v>10</v>
      </c>
      <c r="E67">
        <v>3</v>
      </c>
      <c r="F67">
        <v>20.079999999999998</v>
      </c>
      <c r="G67" s="2">
        <v>3.15</v>
      </c>
    </row>
    <row r="68" spans="1:7" x14ac:dyDescent="0.2">
      <c r="A68" t="s">
        <v>7</v>
      </c>
      <c r="B68" t="s">
        <v>8</v>
      </c>
      <c r="C68" t="s">
        <v>21</v>
      </c>
      <c r="D68" t="s">
        <v>10</v>
      </c>
      <c r="E68">
        <v>2</v>
      </c>
      <c r="F68">
        <v>16.45</v>
      </c>
      <c r="G68" s="2">
        <v>2.4700000000000002</v>
      </c>
    </row>
    <row r="69" spans="1:7" x14ac:dyDescent="0.2">
      <c r="A69" t="s">
        <v>7</v>
      </c>
      <c r="B69" t="s">
        <v>22</v>
      </c>
      <c r="C69" t="s">
        <v>21</v>
      </c>
      <c r="D69" t="s">
        <v>10</v>
      </c>
      <c r="E69">
        <v>1</v>
      </c>
      <c r="F69">
        <v>3.07</v>
      </c>
      <c r="G69" s="2">
        <v>1</v>
      </c>
    </row>
    <row r="70" spans="1:7" x14ac:dyDescent="0.2">
      <c r="A70" t="s">
        <v>11</v>
      </c>
      <c r="B70" t="s">
        <v>8</v>
      </c>
      <c r="C70" t="s">
        <v>21</v>
      </c>
      <c r="D70" t="s">
        <v>10</v>
      </c>
      <c r="E70">
        <v>2</v>
      </c>
      <c r="F70">
        <v>20.23</v>
      </c>
      <c r="G70" s="2">
        <v>2.0099999999999998</v>
      </c>
    </row>
    <row r="71" spans="1:7" x14ac:dyDescent="0.2">
      <c r="A71" t="s">
        <v>11</v>
      </c>
      <c r="B71" t="s">
        <v>22</v>
      </c>
      <c r="C71" t="s">
        <v>21</v>
      </c>
      <c r="D71" t="s">
        <v>10</v>
      </c>
      <c r="E71">
        <v>2</v>
      </c>
      <c r="F71">
        <v>15.01</v>
      </c>
      <c r="G71" s="2">
        <v>2.09</v>
      </c>
    </row>
    <row r="72" spans="1:7" x14ac:dyDescent="0.2">
      <c r="A72" t="s">
        <v>11</v>
      </c>
      <c r="B72" t="s">
        <v>8</v>
      </c>
      <c r="C72" t="s">
        <v>21</v>
      </c>
      <c r="D72" t="s">
        <v>10</v>
      </c>
      <c r="E72">
        <v>2</v>
      </c>
      <c r="F72">
        <v>12.02</v>
      </c>
      <c r="G72" s="2">
        <v>1.97</v>
      </c>
    </row>
    <row r="73" spans="1:7" x14ac:dyDescent="0.2">
      <c r="A73" t="s">
        <v>7</v>
      </c>
      <c r="B73" t="s">
        <v>8</v>
      </c>
      <c r="C73" t="s">
        <v>21</v>
      </c>
      <c r="D73" t="s">
        <v>10</v>
      </c>
      <c r="E73">
        <v>3</v>
      </c>
      <c r="F73">
        <v>17.07</v>
      </c>
      <c r="G73" s="2">
        <v>3</v>
      </c>
    </row>
    <row r="74" spans="1:7" x14ac:dyDescent="0.2">
      <c r="A74" t="s">
        <v>7</v>
      </c>
      <c r="B74" t="s">
        <v>22</v>
      </c>
      <c r="C74" t="s">
        <v>21</v>
      </c>
      <c r="D74" t="s">
        <v>10</v>
      </c>
      <c r="E74">
        <v>2</v>
      </c>
      <c r="F74">
        <v>26.86</v>
      </c>
      <c r="G74" s="2">
        <v>3.14</v>
      </c>
    </row>
    <row r="75" spans="1:7" x14ac:dyDescent="0.2">
      <c r="A75" t="s">
        <v>7</v>
      </c>
      <c r="B75" t="s">
        <v>22</v>
      </c>
      <c r="C75" t="s">
        <v>21</v>
      </c>
      <c r="D75" t="s">
        <v>10</v>
      </c>
      <c r="E75">
        <v>2</v>
      </c>
      <c r="F75">
        <v>25.28</v>
      </c>
      <c r="G75" s="2">
        <v>5</v>
      </c>
    </row>
    <row r="76" spans="1:7" x14ac:dyDescent="0.2">
      <c r="A76" t="s">
        <v>7</v>
      </c>
      <c r="B76" t="s">
        <v>8</v>
      </c>
      <c r="C76" t="s">
        <v>21</v>
      </c>
      <c r="D76" t="s">
        <v>10</v>
      </c>
      <c r="E76">
        <v>2</v>
      </c>
      <c r="F76">
        <v>14.73</v>
      </c>
      <c r="G76" s="2">
        <v>2.2000000000000002</v>
      </c>
    </row>
    <row r="77" spans="1:7" x14ac:dyDescent="0.2">
      <c r="A77" t="s">
        <v>11</v>
      </c>
      <c r="B77" t="s">
        <v>8</v>
      </c>
      <c r="C77" t="s">
        <v>21</v>
      </c>
      <c r="D77" t="s">
        <v>10</v>
      </c>
      <c r="E77">
        <v>2</v>
      </c>
      <c r="F77">
        <v>10.51</v>
      </c>
      <c r="G77" s="2">
        <v>1.25</v>
      </c>
    </row>
    <row r="78" spans="1:7" x14ac:dyDescent="0.2">
      <c r="A78" t="s">
        <v>11</v>
      </c>
      <c r="B78" t="s">
        <v>22</v>
      </c>
      <c r="C78" t="s">
        <v>21</v>
      </c>
      <c r="D78" t="s">
        <v>10</v>
      </c>
      <c r="E78">
        <v>2</v>
      </c>
      <c r="F78">
        <v>17.920000000000002</v>
      </c>
      <c r="G78" s="2">
        <v>3.08</v>
      </c>
    </row>
    <row r="79" spans="1:7" x14ac:dyDescent="0.2">
      <c r="A79" t="s">
        <v>11</v>
      </c>
      <c r="B79" t="s">
        <v>8</v>
      </c>
      <c r="C79" t="s">
        <v>23</v>
      </c>
      <c r="D79" t="s">
        <v>24</v>
      </c>
      <c r="E79">
        <v>4</v>
      </c>
      <c r="F79">
        <v>27.2</v>
      </c>
      <c r="G79" s="2">
        <v>4</v>
      </c>
    </row>
    <row r="80" spans="1:7" x14ac:dyDescent="0.2">
      <c r="A80" t="s">
        <v>11</v>
      </c>
      <c r="B80" t="s">
        <v>8</v>
      </c>
      <c r="C80" t="s">
        <v>23</v>
      </c>
      <c r="D80" t="s">
        <v>24</v>
      </c>
      <c r="E80">
        <v>2</v>
      </c>
      <c r="F80">
        <v>22.76</v>
      </c>
      <c r="G80" s="2">
        <v>3</v>
      </c>
    </row>
    <row r="81" spans="1:7" x14ac:dyDescent="0.2">
      <c r="A81" t="s">
        <v>11</v>
      </c>
      <c r="B81" t="s">
        <v>8</v>
      </c>
      <c r="C81" t="s">
        <v>23</v>
      </c>
      <c r="D81" t="s">
        <v>24</v>
      </c>
      <c r="E81">
        <v>2</v>
      </c>
      <c r="F81">
        <v>17.29</v>
      </c>
      <c r="G81" s="2">
        <v>2.71</v>
      </c>
    </row>
    <row r="82" spans="1:7" x14ac:dyDescent="0.2">
      <c r="A82" t="s">
        <v>11</v>
      </c>
      <c r="B82" t="s">
        <v>22</v>
      </c>
      <c r="C82" t="s">
        <v>23</v>
      </c>
      <c r="D82" t="s">
        <v>24</v>
      </c>
      <c r="E82">
        <v>2</v>
      </c>
      <c r="F82">
        <v>19.440000000000001</v>
      </c>
      <c r="G82" s="2">
        <v>3</v>
      </c>
    </row>
    <row r="83" spans="1:7" x14ac:dyDescent="0.2">
      <c r="A83" t="s">
        <v>11</v>
      </c>
      <c r="B83" t="s">
        <v>8</v>
      </c>
      <c r="C83" t="s">
        <v>23</v>
      </c>
      <c r="D83" t="s">
        <v>24</v>
      </c>
      <c r="E83">
        <v>2</v>
      </c>
      <c r="F83">
        <v>16.66</v>
      </c>
      <c r="G83" s="2">
        <v>3.4</v>
      </c>
    </row>
    <row r="84" spans="1:7" x14ac:dyDescent="0.2">
      <c r="A84" t="s">
        <v>7</v>
      </c>
      <c r="B84" t="s">
        <v>8</v>
      </c>
      <c r="C84" t="s">
        <v>23</v>
      </c>
      <c r="D84" t="s">
        <v>24</v>
      </c>
      <c r="E84">
        <v>1</v>
      </c>
      <c r="F84">
        <v>10.07</v>
      </c>
      <c r="G84" s="2">
        <v>1.83</v>
      </c>
    </row>
    <row r="85" spans="1:7" x14ac:dyDescent="0.2">
      <c r="A85" t="s">
        <v>11</v>
      </c>
      <c r="B85" t="s">
        <v>22</v>
      </c>
      <c r="C85" t="s">
        <v>23</v>
      </c>
      <c r="D85" t="s">
        <v>24</v>
      </c>
      <c r="E85">
        <v>2</v>
      </c>
      <c r="F85">
        <v>32.68</v>
      </c>
      <c r="G85" s="2">
        <v>5</v>
      </c>
    </row>
    <row r="86" spans="1:7" x14ac:dyDescent="0.2">
      <c r="A86" t="s">
        <v>11</v>
      </c>
      <c r="B86" t="s">
        <v>8</v>
      </c>
      <c r="C86" t="s">
        <v>23</v>
      </c>
      <c r="D86" t="s">
        <v>24</v>
      </c>
      <c r="E86">
        <v>2</v>
      </c>
      <c r="F86">
        <v>15.98</v>
      </c>
      <c r="G86" s="2">
        <v>2.0299999999999998</v>
      </c>
    </row>
    <row r="87" spans="1:7" x14ac:dyDescent="0.2">
      <c r="A87" t="s">
        <v>7</v>
      </c>
      <c r="B87" t="s">
        <v>8</v>
      </c>
      <c r="C87" t="s">
        <v>23</v>
      </c>
      <c r="D87" t="s">
        <v>24</v>
      </c>
      <c r="E87">
        <v>4</v>
      </c>
      <c r="F87">
        <v>34.83</v>
      </c>
      <c r="G87" s="2">
        <v>5.17</v>
      </c>
    </row>
    <row r="88" spans="1:7" x14ac:dyDescent="0.2">
      <c r="A88" t="s">
        <v>11</v>
      </c>
      <c r="B88" t="s">
        <v>8</v>
      </c>
      <c r="C88" t="s">
        <v>23</v>
      </c>
      <c r="D88" t="s">
        <v>24</v>
      </c>
      <c r="E88">
        <v>2</v>
      </c>
      <c r="F88">
        <v>13.03</v>
      </c>
      <c r="G88" s="2">
        <v>2</v>
      </c>
    </row>
    <row r="89" spans="1:7" x14ac:dyDescent="0.2">
      <c r="A89" t="s">
        <v>11</v>
      </c>
      <c r="B89" t="s">
        <v>8</v>
      </c>
      <c r="C89" t="s">
        <v>23</v>
      </c>
      <c r="D89" t="s">
        <v>24</v>
      </c>
      <c r="E89">
        <v>2</v>
      </c>
      <c r="F89">
        <v>18.28</v>
      </c>
      <c r="G89" s="2">
        <v>4</v>
      </c>
    </row>
    <row r="90" spans="1:7" x14ac:dyDescent="0.2">
      <c r="A90" t="s">
        <v>11</v>
      </c>
      <c r="B90" t="s">
        <v>8</v>
      </c>
      <c r="C90" t="s">
        <v>23</v>
      </c>
      <c r="D90" t="s">
        <v>24</v>
      </c>
      <c r="E90">
        <v>2</v>
      </c>
      <c r="F90">
        <v>24.71</v>
      </c>
      <c r="G90" s="2">
        <v>5.85</v>
      </c>
    </row>
    <row r="91" spans="1:7" x14ac:dyDescent="0.2">
      <c r="A91" t="s">
        <v>11</v>
      </c>
      <c r="B91" t="s">
        <v>8</v>
      </c>
      <c r="C91" t="s">
        <v>23</v>
      </c>
      <c r="D91" t="s">
        <v>24</v>
      </c>
      <c r="E91">
        <v>2</v>
      </c>
      <c r="F91">
        <v>21.16</v>
      </c>
      <c r="G91" s="2">
        <v>3</v>
      </c>
    </row>
    <row r="92" spans="1:7" x14ac:dyDescent="0.2">
      <c r="A92" t="s">
        <v>11</v>
      </c>
      <c r="B92" t="s">
        <v>22</v>
      </c>
      <c r="C92" t="s">
        <v>25</v>
      </c>
      <c r="D92" t="s">
        <v>10</v>
      </c>
      <c r="E92">
        <v>2</v>
      </c>
      <c r="F92">
        <v>28.97</v>
      </c>
      <c r="G92" s="2">
        <v>3</v>
      </c>
    </row>
    <row r="93" spans="1:7" x14ac:dyDescent="0.2">
      <c r="A93" t="s">
        <v>11</v>
      </c>
      <c r="B93" t="s">
        <v>8</v>
      </c>
      <c r="C93" t="s">
        <v>25</v>
      </c>
      <c r="D93" t="s">
        <v>10</v>
      </c>
      <c r="E93">
        <v>2</v>
      </c>
      <c r="F93">
        <v>22.49</v>
      </c>
      <c r="G93" s="2">
        <v>3.5</v>
      </c>
    </row>
    <row r="94" spans="1:7" x14ac:dyDescent="0.2">
      <c r="A94" t="s">
        <v>7</v>
      </c>
      <c r="B94" t="s">
        <v>22</v>
      </c>
      <c r="C94" t="s">
        <v>25</v>
      </c>
      <c r="D94" t="s">
        <v>10</v>
      </c>
      <c r="E94">
        <v>2</v>
      </c>
      <c r="F94">
        <v>5.75</v>
      </c>
      <c r="G94" s="2">
        <v>1</v>
      </c>
    </row>
    <row r="95" spans="1:7" x14ac:dyDescent="0.2">
      <c r="A95" t="s">
        <v>7</v>
      </c>
      <c r="B95" t="s">
        <v>22</v>
      </c>
      <c r="C95" t="s">
        <v>25</v>
      </c>
      <c r="D95" t="s">
        <v>10</v>
      </c>
      <c r="E95">
        <v>2</v>
      </c>
      <c r="F95">
        <v>16.32</v>
      </c>
      <c r="G95" s="2">
        <v>4.3</v>
      </c>
    </row>
    <row r="96" spans="1:7" x14ac:dyDescent="0.2">
      <c r="A96" t="s">
        <v>7</v>
      </c>
      <c r="B96" t="s">
        <v>8</v>
      </c>
      <c r="C96" t="s">
        <v>25</v>
      </c>
      <c r="D96" t="s">
        <v>10</v>
      </c>
      <c r="E96">
        <v>2</v>
      </c>
      <c r="F96">
        <v>22.75</v>
      </c>
      <c r="G96" s="2">
        <v>3.25</v>
      </c>
    </row>
    <row r="97" spans="1:7" x14ac:dyDescent="0.2">
      <c r="A97" t="s">
        <v>11</v>
      </c>
      <c r="B97" t="s">
        <v>22</v>
      </c>
      <c r="C97" t="s">
        <v>25</v>
      </c>
      <c r="D97" t="s">
        <v>10</v>
      </c>
      <c r="E97">
        <v>4</v>
      </c>
      <c r="F97">
        <v>40.17</v>
      </c>
      <c r="G97" s="2">
        <v>4.7300000000000004</v>
      </c>
    </row>
    <row r="98" spans="1:7" x14ac:dyDescent="0.2">
      <c r="A98" t="s">
        <v>11</v>
      </c>
      <c r="B98" t="s">
        <v>22</v>
      </c>
      <c r="C98" t="s">
        <v>25</v>
      </c>
      <c r="D98" t="s">
        <v>10</v>
      </c>
      <c r="E98">
        <v>2</v>
      </c>
      <c r="F98">
        <v>27.28</v>
      </c>
      <c r="G98" s="2">
        <v>4</v>
      </c>
    </row>
    <row r="99" spans="1:7" x14ac:dyDescent="0.2">
      <c r="A99" t="s">
        <v>11</v>
      </c>
      <c r="B99" t="s">
        <v>22</v>
      </c>
      <c r="C99" t="s">
        <v>25</v>
      </c>
      <c r="D99" t="s">
        <v>10</v>
      </c>
      <c r="E99">
        <v>2</v>
      </c>
      <c r="F99">
        <v>12.03</v>
      </c>
      <c r="G99" s="2">
        <v>1.5</v>
      </c>
    </row>
    <row r="100" spans="1:7" x14ac:dyDescent="0.2">
      <c r="A100" t="s">
        <v>11</v>
      </c>
      <c r="B100" t="s">
        <v>22</v>
      </c>
      <c r="C100" t="s">
        <v>25</v>
      </c>
      <c r="D100" t="s">
        <v>10</v>
      </c>
      <c r="E100">
        <v>2</v>
      </c>
      <c r="F100">
        <v>21.01</v>
      </c>
      <c r="G100" s="2">
        <v>3</v>
      </c>
    </row>
    <row r="101" spans="1:7" x14ac:dyDescent="0.2">
      <c r="A101" t="s">
        <v>11</v>
      </c>
      <c r="B101" t="s">
        <v>8</v>
      </c>
      <c r="C101" t="s">
        <v>25</v>
      </c>
      <c r="D101" t="s">
        <v>10</v>
      </c>
      <c r="E101">
        <v>2</v>
      </c>
      <c r="F101">
        <v>12.46</v>
      </c>
      <c r="G101" s="2">
        <v>1.5</v>
      </c>
    </row>
    <row r="102" spans="1:7" x14ac:dyDescent="0.2">
      <c r="A102" t="s">
        <v>7</v>
      </c>
      <c r="B102" t="s">
        <v>22</v>
      </c>
      <c r="C102" t="s">
        <v>25</v>
      </c>
      <c r="D102" t="s">
        <v>10</v>
      </c>
      <c r="E102">
        <v>2</v>
      </c>
      <c r="F102">
        <v>11.35</v>
      </c>
      <c r="G102" s="2">
        <v>2.5</v>
      </c>
    </row>
    <row r="103" spans="1:7" x14ac:dyDescent="0.2">
      <c r="A103" t="s">
        <v>7</v>
      </c>
      <c r="B103" t="s">
        <v>22</v>
      </c>
      <c r="C103" t="s">
        <v>25</v>
      </c>
      <c r="D103" t="s">
        <v>10</v>
      </c>
      <c r="E103">
        <v>2</v>
      </c>
      <c r="F103">
        <v>15.38</v>
      </c>
      <c r="G103" s="2">
        <v>3</v>
      </c>
    </row>
    <row r="104" spans="1:7" x14ac:dyDescent="0.2">
      <c r="A104" t="s">
        <v>7</v>
      </c>
      <c r="B104" t="s">
        <v>22</v>
      </c>
      <c r="C104" t="s">
        <v>21</v>
      </c>
      <c r="D104" t="s">
        <v>10</v>
      </c>
      <c r="E104">
        <v>3</v>
      </c>
      <c r="F104">
        <v>44.3</v>
      </c>
      <c r="G104" s="2">
        <v>2.5</v>
      </c>
    </row>
    <row r="105" spans="1:7" x14ac:dyDescent="0.2">
      <c r="A105" t="s">
        <v>7</v>
      </c>
      <c r="B105" t="s">
        <v>22</v>
      </c>
      <c r="C105" t="s">
        <v>21</v>
      </c>
      <c r="D105" t="s">
        <v>10</v>
      </c>
      <c r="E105">
        <v>2</v>
      </c>
      <c r="F105">
        <v>22.42</v>
      </c>
      <c r="G105" s="2">
        <v>3.48</v>
      </c>
    </row>
    <row r="106" spans="1:7" x14ac:dyDescent="0.2">
      <c r="A106" t="s">
        <v>7</v>
      </c>
      <c r="B106" t="s">
        <v>8</v>
      </c>
      <c r="C106" t="s">
        <v>21</v>
      </c>
      <c r="D106" t="s">
        <v>10</v>
      </c>
      <c r="E106">
        <v>2</v>
      </c>
      <c r="F106">
        <v>20.92</v>
      </c>
      <c r="G106" s="2">
        <v>4.08</v>
      </c>
    </row>
    <row r="107" spans="1:7" x14ac:dyDescent="0.2">
      <c r="A107" t="s">
        <v>11</v>
      </c>
      <c r="B107" t="s">
        <v>22</v>
      </c>
      <c r="C107" t="s">
        <v>21</v>
      </c>
      <c r="D107" t="s">
        <v>10</v>
      </c>
      <c r="E107">
        <v>2</v>
      </c>
      <c r="F107">
        <v>15.36</v>
      </c>
      <c r="G107" s="2">
        <v>1.64</v>
      </c>
    </row>
    <row r="108" spans="1:7" x14ac:dyDescent="0.2">
      <c r="A108" t="s">
        <v>11</v>
      </c>
      <c r="B108" t="s">
        <v>22</v>
      </c>
      <c r="C108" t="s">
        <v>21</v>
      </c>
      <c r="D108" t="s">
        <v>10</v>
      </c>
      <c r="E108">
        <v>2</v>
      </c>
      <c r="F108">
        <v>20.49</v>
      </c>
      <c r="G108" s="2">
        <v>4.0599999999999996</v>
      </c>
    </row>
    <row r="109" spans="1:7" x14ac:dyDescent="0.2">
      <c r="A109" t="s">
        <v>11</v>
      </c>
      <c r="B109" t="s">
        <v>22</v>
      </c>
      <c r="C109" t="s">
        <v>21</v>
      </c>
      <c r="D109" t="s">
        <v>10</v>
      </c>
      <c r="E109">
        <v>2</v>
      </c>
      <c r="F109">
        <v>25.21</v>
      </c>
      <c r="G109" s="2">
        <v>4.29</v>
      </c>
    </row>
    <row r="110" spans="1:7" x14ac:dyDescent="0.2">
      <c r="A110" t="s">
        <v>11</v>
      </c>
      <c r="B110" t="s">
        <v>8</v>
      </c>
      <c r="C110" t="s">
        <v>21</v>
      </c>
      <c r="D110" t="s">
        <v>10</v>
      </c>
      <c r="E110">
        <v>2</v>
      </c>
      <c r="F110">
        <v>18.239999999999998</v>
      </c>
      <c r="G110" s="2">
        <v>3.76</v>
      </c>
    </row>
    <row r="111" spans="1:7" x14ac:dyDescent="0.2">
      <c r="A111" t="s">
        <v>7</v>
      </c>
      <c r="B111" t="s">
        <v>22</v>
      </c>
      <c r="C111" t="s">
        <v>21</v>
      </c>
      <c r="D111" t="s">
        <v>10</v>
      </c>
      <c r="E111">
        <v>2</v>
      </c>
      <c r="F111">
        <v>14.31</v>
      </c>
      <c r="G111" s="2">
        <v>4</v>
      </c>
    </row>
    <row r="112" spans="1:7" x14ac:dyDescent="0.2">
      <c r="A112" t="s">
        <v>11</v>
      </c>
      <c r="B112" t="s">
        <v>8</v>
      </c>
      <c r="C112" t="s">
        <v>21</v>
      </c>
      <c r="D112" t="s">
        <v>10</v>
      </c>
      <c r="E112">
        <v>2</v>
      </c>
      <c r="F112">
        <v>14</v>
      </c>
      <c r="G112" s="2">
        <v>3</v>
      </c>
    </row>
    <row r="113" spans="1:7" x14ac:dyDescent="0.2">
      <c r="A113" t="s">
        <v>7</v>
      </c>
      <c r="B113" t="s">
        <v>8</v>
      </c>
      <c r="C113" t="s">
        <v>21</v>
      </c>
      <c r="D113" t="s">
        <v>10</v>
      </c>
      <c r="E113">
        <v>1</v>
      </c>
      <c r="F113">
        <v>7.25</v>
      </c>
      <c r="G113" s="2">
        <v>1</v>
      </c>
    </row>
    <row r="114" spans="1:7" x14ac:dyDescent="0.2">
      <c r="A114" t="s">
        <v>11</v>
      </c>
      <c r="B114" t="s">
        <v>8</v>
      </c>
      <c r="C114" t="s">
        <v>9</v>
      </c>
      <c r="D114" t="s">
        <v>10</v>
      </c>
      <c r="E114">
        <v>3</v>
      </c>
      <c r="F114">
        <v>38.07</v>
      </c>
      <c r="G114" s="2">
        <v>4</v>
      </c>
    </row>
    <row r="115" spans="1:7" x14ac:dyDescent="0.2">
      <c r="A115" t="s">
        <v>11</v>
      </c>
      <c r="B115" t="s">
        <v>8</v>
      </c>
      <c r="C115" t="s">
        <v>9</v>
      </c>
      <c r="D115" t="s">
        <v>10</v>
      </c>
      <c r="E115">
        <v>2</v>
      </c>
      <c r="F115">
        <v>23.95</v>
      </c>
      <c r="G115" s="2">
        <v>2.5499999999999998</v>
      </c>
    </row>
    <row r="116" spans="1:7" x14ac:dyDescent="0.2">
      <c r="A116" t="s">
        <v>7</v>
      </c>
      <c r="B116" t="s">
        <v>8</v>
      </c>
      <c r="C116" t="s">
        <v>9</v>
      </c>
      <c r="D116" t="s">
        <v>10</v>
      </c>
      <c r="E116">
        <v>3</v>
      </c>
      <c r="F116">
        <v>25.71</v>
      </c>
      <c r="G116" s="2">
        <v>4</v>
      </c>
    </row>
    <row r="117" spans="1:7" x14ac:dyDescent="0.2">
      <c r="A117" t="s">
        <v>7</v>
      </c>
      <c r="B117" t="s">
        <v>8</v>
      </c>
      <c r="C117" t="s">
        <v>9</v>
      </c>
      <c r="D117" t="s">
        <v>10</v>
      </c>
      <c r="E117">
        <v>2</v>
      </c>
      <c r="F117">
        <v>17.309999999999999</v>
      </c>
      <c r="G117" s="2">
        <v>3.5</v>
      </c>
    </row>
    <row r="118" spans="1:7" x14ac:dyDescent="0.2">
      <c r="A118" t="s">
        <v>11</v>
      </c>
      <c r="B118" t="s">
        <v>8</v>
      </c>
      <c r="C118" t="s">
        <v>9</v>
      </c>
      <c r="D118" t="s">
        <v>10</v>
      </c>
      <c r="E118">
        <v>4</v>
      </c>
      <c r="F118">
        <v>29.93</v>
      </c>
      <c r="G118" s="2">
        <v>5.07</v>
      </c>
    </row>
    <row r="119" spans="1:7" x14ac:dyDescent="0.2">
      <c r="A119" t="s">
        <v>7</v>
      </c>
      <c r="B119" t="s">
        <v>8</v>
      </c>
      <c r="C119" t="s">
        <v>23</v>
      </c>
      <c r="D119" t="s">
        <v>24</v>
      </c>
      <c r="E119">
        <v>2</v>
      </c>
      <c r="F119">
        <v>10.65</v>
      </c>
      <c r="G119" s="2">
        <v>1.5</v>
      </c>
    </row>
    <row r="120" spans="1:7" x14ac:dyDescent="0.2">
      <c r="A120" t="s">
        <v>7</v>
      </c>
      <c r="B120" t="s">
        <v>8</v>
      </c>
      <c r="C120" t="s">
        <v>23</v>
      </c>
      <c r="D120" t="s">
        <v>24</v>
      </c>
      <c r="E120">
        <v>2</v>
      </c>
      <c r="F120">
        <v>12.43</v>
      </c>
      <c r="G120" s="2">
        <v>1.8</v>
      </c>
    </row>
    <row r="121" spans="1:7" x14ac:dyDescent="0.2">
      <c r="A121" t="s">
        <v>7</v>
      </c>
      <c r="B121" t="s">
        <v>8</v>
      </c>
      <c r="C121" t="s">
        <v>23</v>
      </c>
      <c r="D121" t="s">
        <v>24</v>
      </c>
      <c r="E121">
        <v>4</v>
      </c>
      <c r="F121">
        <v>24.08</v>
      </c>
      <c r="G121" s="2">
        <v>2.92</v>
      </c>
    </row>
    <row r="122" spans="1:7" x14ac:dyDescent="0.2">
      <c r="A122" t="s">
        <v>11</v>
      </c>
      <c r="B122" t="s">
        <v>8</v>
      </c>
      <c r="C122" t="s">
        <v>23</v>
      </c>
      <c r="D122" t="s">
        <v>24</v>
      </c>
      <c r="E122">
        <v>2</v>
      </c>
      <c r="F122">
        <v>11.69</v>
      </c>
      <c r="G122" s="2">
        <v>2.31</v>
      </c>
    </row>
    <row r="123" spans="1:7" x14ac:dyDescent="0.2">
      <c r="A123" t="s">
        <v>7</v>
      </c>
      <c r="B123" t="s">
        <v>8</v>
      </c>
      <c r="C123" t="s">
        <v>23</v>
      </c>
      <c r="D123" t="s">
        <v>24</v>
      </c>
      <c r="E123">
        <v>2</v>
      </c>
      <c r="F123">
        <v>13.42</v>
      </c>
      <c r="G123" s="2">
        <v>1.68</v>
      </c>
    </row>
    <row r="124" spans="1:7" x14ac:dyDescent="0.2">
      <c r="A124" t="s">
        <v>11</v>
      </c>
      <c r="B124" t="s">
        <v>8</v>
      </c>
      <c r="C124" t="s">
        <v>23</v>
      </c>
      <c r="D124" t="s">
        <v>24</v>
      </c>
      <c r="E124">
        <v>2</v>
      </c>
      <c r="F124">
        <v>14.26</v>
      </c>
      <c r="G124" s="2">
        <v>2.5</v>
      </c>
    </row>
    <row r="125" spans="1:7" x14ac:dyDescent="0.2">
      <c r="A125" t="s">
        <v>11</v>
      </c>
      <c r="B125" t="s">
        <v>8</v>
      </c>
      <c r="C125" t="s">
        <v>23</v>
      </c>
      <c r="D125" t="s">
        <v>24</v>
      </c>
      <c r="E125">
        <v>2</v>
      </c>
      <c r="F125">
        <v>15.95</v>
      </c>
      <c r="G125" s="2">
        <v>2</v>
      </c>
    </row>
    <row r="126" spans="1:7" x14ac:dyDescent="0.2">
      <c r="A126" t="s">
        <v>7</v>
      </c>
      <c r="B126" t="s">
        <v>8</v>
      </c>
      <c r="C126" t="s">
        <v>23</v>
      </c>
      <c r="D126" t="s">
        <v>24</v>
      </c>
      <c r="E126">
        <v>2</v>
      </c>
      <c r="F126">
        <v>12.48</v>
      </c>
      <c r="G126" s="2">
        <v>2.52</v>
      </c>
    </row>
    <row r="127" spans="1:7" x14ac:dyDescent="0.2">
      <c r="A127" t="s">
        <v>7</v>
      </c>
      <c r="B127" t="s">
        <v>8</v>
      </c>
      <c r="C127" t="s">
        <v>23</v>
      </c>
      <c r="D127" t="s">
        <v>24</v>
      </c>
      <c r="E127">
        <v>6</v>
      </c>
      <c r="F127">
        <v>29.8</v>
      </c>
      <c r="G127" s="2">
        <v>4.2</v>
      </c>
    </row>
    <row r="128" spans="1:7" x14ac:dyDescent="0.2">
      <c r="A128" t="s">
        <v>11</v>
      </c>
      <c r="B128" t="s">
        <v>8</v>
      </c>
      <c r="C128" t="s">
        <v>23</v>
      </c>
      <c r="D128" t="s">
        <v>24</v>
      </c>
      <c r="E128">
        <v>2</v>
      </c>
      <c r="F128">
        <v>8.52</v>
      </c>
      <c r="G128" s="2">
        <v>1.48</v>
      </c>
    </row>
    <row r="129" spans="1:7" x14ac:dyDescent="0.2">
      <c r="A129" t="s">
        <v>7</v>
      </c>
      <c r="B129" t="s">
        <v>8</v>
      </c>
      <c r="C129" t="s">
        <v>23</v>
      </c>
      <c r="D129" t="s">
        <v>24</v>
      </c>
      <c r="E129">
        <v>2</v>
      </c>
      <c r="F129">
        <v>14.52</v>
      </c>
      <c r="G129" s="2">
        <v>2</v>
      </c>
    </row>
    <row r="130" spans="1:7" x14ac:dyDescent="0.2">
      <c r="A130" t="s">
        <v>7</v>
      </c>
      <c r="B130" t="s">
        <v>8</v>
      </c>
      <c r="C130" t="s">
        <v>23</v>
      </c>
      <c r="D130" t="s">
        <v>24</v>
      </c>
      <c r="E130">
        <v>2</v>
      </c>
      <c r="F130">
        <v>11.38</v>
      </c>
      <c r="G130" s="2">
        <v>2</v>
      </c>
    </row>
    <row r="131" spans="1:7" x14ac:dyDescent="0.2">
      <c r="A131" t="s">
        <v>11</v>
      </c>
      <c r="B131" t="s">
        <v>8</v>
      </c>
      <c r="C131" t="s">
        <v>23</v>
      </c>
      <c r="D131" t="s">
        <v>24</v>
      </c>
      <c r="E131">
        <v>3</v>
      </c>
      <c r="F131">
        <v>22.82</v>
      </c>
      <c r="G131" s="2">
        <v>2.1800000000000002</v>
      </c>
    </row>
    <row r="132" spans="1:7" x14ac:dyDescent="0.2">
      <c r="A132" t="s">
        <v>11</v>
      </c>
      <c r="B132" t="s">
        <v>8</v>
      </c>
      <c r="C132" t="s">
        <v>23</v>
      </c>
      <c r="D132" t="s">
        <v>24</v>
      </c>
      <c r="E132">
        <v>2</v>
      </c>
      <c r="F132">
        <v>19.079999999999998</v>
      </c>
      <c r="G132" s="2">
        <v>1.5</v>
      </c>
    </row>
    <row r="133" spans="1:7" x14ac:dyDescent="0.2">
      <c r="A133" t="s">
        <v>7</v>
      </c>
      <c r="B133" t="s">
        <v>8</v>
      </c>
      <c r="C133" t="s">
        <v>23</v>
      </c>
      <c r="D133" t="s">
        <v>24</v>
      </c>
      <c r="E133">
        <v>2</v>
      </c>
      <c r="F133">
        <v>20.27</v>
      </c>
      <c r="G133" s="2">
        <v>2.83</v>
      </c>
    </row>
    <row r="134" spans="1:7" x14ac:dyDescent="0.2">
      <c r="A134" t="s">
        <v>7</v>
      </c>
      <c r="B134" t="s">
        <v>8</v>
      </c>
      <c r="C134" t="s">
        <v>23</v>
      </c>
      <c r="D134" t="s">
        <v>24</v>
      </c>
      <c r="E134">
        <v>2</v>
      </c>
      <c r="F134">
        <v>11.17</v>
      </c>
      <c r="G134" s="2">
        <v>1.5</v>
      </c>
    </row>
    <row r="135" spans="1:7" x14ac:dyDescent="0.2">
      <c r="A135" t="s">
        <v>7</v>
      </c>
      <c r="B135" t="s">
        <v>8</v>
      </c>
      <c r="C135" t="s">
        <v>23</v>
      </c>
      <c r="D135" t="s">
        <v>24</v>
      </c>
      <c r="E135">
        <v>2</v>
      </c>
      <c r="F135">
        <v>12.26</v>
      </c>
      <c r="G135" s="2">
        <v>2</v>
      </c>
    </row>
    <row r="136" spans="1:7" x14ac:dyDescent="0.2">
      <c r="A136" t="s">
        <v>7</v>
      </c>
      <c r="B136" t="s">
        <v>8</v>
      </c>
      <c r="C136" t="s">
        <v>23</v>
      </c>
      <c r="D136" t="s">
        <v>24</v>
      </c>
      <c r="E136">
        <v>2</v>
      </c>
      <c r="F136">
        <v>18.260000000000002</v>
      </c>
      <c r="G136" s="2">
        <v>3.25</v>
      </c>
    </row>
    <row r="137" spans="1:7" x14ac:dyDescent="0.2">
      <c r="A137" t="s">
        <v>7</v>
      </c>
      <c r="B137" t="s">
        <v>8</v>
      </c>
      <c r="C137" t="s">
        <v>23</v>
      </c>
      <c r="D137" t="s">
        <v>24</v>
      </c>
      <c r="E137">
        <v>2</v>
      </c>
      <c r="F137">
        <v>8.51</v>
      </c>
      <c r="G137" s="2">
        <v>1.25</v>
      </c>
    </row>
    <row r="138" spans="1:7" x14ac:dyDescent="0.2">
      <c r="A138" t="s">
        <v>7</v>
      </c>
      <c r="B138" t="s">
        <v>8</v>
      </c>
      <c r="C138" t="s">
        <v>23</v>
      </c>
      <c r="D138" t="s">
        <v>24</v>
      </c>
      <c r="E138">
        <v>2</v>
      </c>
      <c r="F138">
        <v>10.33</v>
      </c>
      <c r="G138" s="2">
        <v>2</v>
      </c>
    </row>
    <row r="139" spans="1:7" x14ac:dyDescent="0.2">
      <c r="A139" t="s">
        <v>7</v>
      </c>
      <c r="B139" t="s">
        <v>8</v>
      </c>
      <c r="C139" t="s">
        <v>23</v>
      </c>
      <c r="D139" t="s">
        <v>24</v>
      </c>
      <c r="E139">
        <v>2</v>
      </c>
      <c r="F139">
        <v>14.15</v>
      </c>
      <c r="G139" s="2">
        <v>2</v>
      </c>
    </row>
    <row r="140" spans="1:7" x14ac:dyDescent="0.2">
      <c r="A140" t="s">
        <v>11</v>
      </c>
      <c r="B140" t="s">
        <v>22</v>
      </c>
      <c r="C140" t="s">
        <v>23</v>
      </c>
      <c r="D140" t="s">
        <v>24</v>
      </c>
      <c r="E140">
        <v>2</v>
      </c>
      <c r="F140">
        <v>16</v>
      </c>
      <c r="G140" s="2">
        <v>2</v>
      </c>
    </row>
    <row r="141" spans="1:7" x14ac:dyDescent="0.2">
      <c r="A141" t="s">
        <v>7</v>
      </c>
      <c r="B141" t="s">
        <v>8</v>
      </c>
      <c r="C141" t="s">
        <v>23</v>
      </c>
      <c r="D141" t="s">
        <v>24</v>
      </c>
      <c r="E141">
        <v>2</v>
      </c>
      <c r="F141">
        <v>13.16</v>
      </c>
      <c r="G141" s="2">
        <v>2.75</v>
      </c>
    </row>
    <row r="142" spans="1:7" x14ac:dyDescent="0.2">
      <c r="A142" t="s">
        <v>7</v>
      </c>
      <c r="B142" t="s">
        <v>8</v>
      </c>
      <c r="C142" t="s">
        <v>23</v>
      </c>
      <c r="D142" t="s">
        <v>24</v>
      </c>
      <c r="E142">
        <v>2</v>
      </c>
      <c r="F142">
        <v>17.47</v>
      </c>
      <c r="G142" s="2">
        <v>3.5</v>
      </c>
    </row>
    <row r="143" spans="1:7" x14ac:dyDescent="0.2">
      <c r="A143" t="s">
        <v>11</v>
      </c>
      <c r="B143" t="s">
        <v>8</v>
      </c>
      <c r="C143" t="s">
        <v>23</v>
      </c>
      <c r="D143" t="s">
        <v>24</v>
      </c>
      <c r="E143">
        <v>6</v>
      </c>
      <c r="F143">
        <v>34.299999999999997</v>
      </c>
      <c r="G143" s="2">
        <v>6.7</v>
      </c>
    </row>
    <row r="144" spans="1:7" x14ac:dyDescent="0.2">
      <c r="A144" t="s">
        <v>11</v>
      </c>
      <c r="B144" t="s">
        <v>8</v>
      </c>
      <c r="C144" t="s">
        <v>23</v>
      </c>
      <c r="D144" t="s">
        <v>24</v>
      </c>
      <c r="E144">
        <v>5</v>
      </c>
      <c r="F144">
        <v>41.19</v>
      </c>
      <c r="G144" s="2">
        <v>5</v>
      </c>
    </row>
    <row r="145" spans="1:7" x14ac:dyDescent="0.2">
      <c r="A145" t="s">
        <v>7</v>
      </c>
      <c r="B145" t="s">
        <v>8</v>
      </c>
      <c r="C145" t="s">
        <v>23</v>
      </c>
      <c r="D145" t="s">
        <v>24</v>
      </c>
      <c r="E145">
        <v>6</v>
      </c>
      <c r="F145">
        <v>27.05</v>
      </c>
      <c r="G145" s="2">
        <v>5</v>
      </c>
    </row>
    <row r="146" spans="1:7" x14ac:dyDescent="0.2">
      <c r="A146" t="s">
        <v>7</v>
      </c>
      <c r="B146" t="s">
        <v>8</v>
      </c>
      <c r="C146" t="s">
        <v>23</v>
      </c>
      <c r="D146" t="s">
        <v>24</v>
      </c>
      <c r="E146">
        <v>2</v>
      </c>
      <c r="F146">
        <v>16.43</v>
      </c>
      <c r="G146" s="2">
        <v>2.2999999999999998</v>
      </c>
    </row>
    <row r="147" spans="1:7" x14ac:dyDescent="0.2">
      <c r="A147" t="s">
        <v>7</v>
      </c>
      <c r="B147" t="s">
        <v>8</v>
      </c>
      <c r="C147" t="s">
        <v>23</v>
      </c>
      <c r="D147" t="s">
        <v>24</v>
      </c>
      <c r="E147">
        <v>2</v>
      </c>
      <c r="F147">
        <v>8.35</v>
      </c>
      <c r="G147" s="2">
        <v>1.5</v>
      </c>
    </row>
    <row r="148" spans="1:7" x14ac:dyDescent="0.2">
      <c r="A148" t="s">
        <v>7</v>
      </c>
      <c r="B148" t="s">
        <v>8</v>
      </c>
      <c r="C148" t="s">
        <v>23</v>
      </c>
      <c r="D148" t="s">
        <v>24</v>
      </c>
      <c r="E148">
        <v>3</v>
      </c>
      <c r="F148">
        <v>18.64</v>
      </c>
      <c r="G148" s="2">
        <v>1.36</v>
      </c>
    </row>
    <row r="149" spans="1:7" x14ac:dyDescent="0.2">
      <c r="A149" t="s">
        <v>7</v>
      </c>
      <c r="B149" t="s">
        <v>8</v>
      </c>
      <c r="C149" t="s">
        <v>23</v>
      </c>
      <c r="D149" t="s">
        <v>24</v>
      </c>
      <c r="E149">
        <v>2</v>
      </c>
      <c r="F149">
        <v>11.87</v>
      </c>
      <c r="G149" s="2">
        <v>1.63</v>
      </c>
    </row>
    <row r="150" spans="1:7" x14ac:dyDescent="0.2">
      <c r="A150" t="s">
        <v>11</v>
      </c>
      <c r="B150" t="s">
        <v>8</v>
      </c>
      <c r="C150" t="s">
        <v>23</v>
      </c>
      <c r="D150" t="s">
        <v>24</v>
      </c>
      <c r="E150">
        <v>2</v>
      </c>
      <c r="F150">
        <v>9.7799999999999994</v>
      </c>
      <c r="G150" s="2">
        <v>1.73</v>
      </c>
    </row>
    <row r="151" spans="1:7" x14ac:dyDescent="0.2">
      <c r="A151" t="s">
        <v>11</v>
      </c>
      <c r="B151" t="s">
        <v>8</v>
      </c>
      <c r="C151" t="s">
        <v>23</v>
      </c>
      <c r="D151" t="s">
        <v>24</v>
      </c>
      <c r="E151">
        <v>2</v>
      </c>
      <c r="F151">
        <v>7.51</v>
      </c>
      <c r="G151" s="2">
        <v>2</v>
      </c>
    </row>
    <row r="152" spans="1:7" x14ac:dyDescent="0.2">
      <c r="A152" t="s">
        <v>11</v>
      </c>
      <c r="B152" t="s">
        <v>8</v>
      </c>
      <c r="C152" t="s">
        <v>9</v>
      </c>
      <c r="D152" t="s">
        <v>10</v>
      </c>
      <c r="E152">
        <v>2</v>
      </c>
      <c r="F152">
        <v>14.07</v>
      </c>
      <c r="G152" s="2">
        <v>2.5</v>
      </c>
    </row>
    <row r="153" spans="1:7" x14ac:dyDescent="0.2">
      <c r="A153" t="s">
        <v>11</v>
      </c>
      <c r="B153" t="s">
        <v>8</v>
      </c>
      <c r="C153" t="s">
        <v>9</v>
      </c>
      <c r="D153" t="s">
        <v>10</v>
      </c>
      <c r="E153">
        <v>2</v>
      </c>
      <c r="F153">
        <v>13.13</v>
      </c>
      <c r="G153" s="2">
        <v>2</v>
      </c>
    </row>
    <row r="154" spans="1:7" x14ac:dyDescent="0.2">
      <c r="A154" t="s">
        <v>11</v>
      </c>
      <c r="B154" t="s">
        <v>8</v>
      </c>
      <c r="C154" t="s">
        <v>9</v>
      </c>
      <c r="D154" t="s">
        <v>10</v>
      </c>
      <c r="E154">
        <v>3</v>
      </c>
      <c r="F154">
        <v>17.260000000000002</v>
      </c>
      <c r="G154" s="2">
        <v>2.74</v>
      </c>
    </row>
    <row r="155" spans="1:7" x14ac:dyDescent="0.2">
      <c r="A155" t="s">
        <v>11</v>
      </c>
      <c r="B155" t="s">
        <v>8</v>
      </c>
      <c r="C155" t="s">
        <v>9</v>
      </c>
      <c r="D155" t="s">
        <v>10</v>
      </c>
      <c r="E155">
        <v>4</v>
      </c>
      <c r="F155">
        <v>24.55</v>
      </c>
      <c r="G155" s="2">
        <v>2</v>
      </c>
    </row>
    <row r="156" spans="1:7" x14ac:dyDescent="0.2">
      <c r="A156" t="s">
        <v>11</v>
      </c>
      <c r="B156" t="s">
        <v>8</v>
      </c>
      <c r="C156" t="s">
        <v>9</v>
      </c>
      <c r="D156" t="s">
        <v>10</v>
      </c>
      <c r="E156">
        <v>4</v>
      </c>
      <c r="F156">
        <v>19.77</v>
      </c>
      <c r="G156" s="2">
        <v>2</v>
      </c>
    </row>
    <row r="157" spans="1:7" x14ac:dyDescent="0.2">
      <c r="A157" t="s">
        <v>7</v>
      </c>
      <c r="B157" t="s">
        <v>8</v>
      </c>
      <c r="C157" t="s">
        <v>9</v>
      </c>
      <c r="D157" t="s">
        <v>10</v>
      </c>
      <c r="E157">
        <v>5</v>
      </c>
      <c r="F157">
        <v>29.85</v>
      </c>
      <c r="G157" s="2">
        <v>5.14</v>
      </c>
    </row>
    <row r="158" spans="1:7" x14ac:dyDescent="0.2">
      <c r="A158" t="s">
        <v>11</v>
      </c>
      <c r="B158" t="s">
        <v>8</v>
      </c>
      <c r="C158" t="s">
        <v>9</v>
      </c>
      <c r="D158" t="s">
        <v>10</v>
      </c>
      <c r="E158">
        <v>6</v>
      </c>
      <c r="F158">
        <v>48.17</v>
      </c>
      <c r="G158" s="2">
        <v>5</v>
      </c>
    </row>
    <row r="159" spans="1:7" x14ac:dyDescent="0.2">
      <c r="A159" t="s">
        <v>7</v>
      </c>
      <c r="B159" t="s">
        <v>8</v>
      </c>
      <c r="C159" t="s">
        <v>9</v>
      </c>
      <c r="D159" t="s">
        <v>10</v>
      </c>
      <c r="E159">
        <v>4</v>
      </c>
      <c r="F159">
        <v>25</v>
      </c>
      <c r="G159" s="2">
        <v>3.75</v>
      </c>
    </row>
    <row r="160" spans="1:7" x14ac:dyDescent="0.2">
      <c r="A160" t="s">
        <v>7</v>
      </c>
      <c r="B160" t="s">
        <v>8</v>
      </c>
      <c r="C160" t="s">
        <v>9</v>
      </c>
      <c r="D160" t="s">
        <v>10</v>
      </c>
      <c r="E160">
        <v>2</v>
      </c>
      <c r="F160">
        <v>13.39</v>
      </c>
      <c r="G160" s="2">
        <v>2.61</v>
      </c>
    </row>
    <row r="161" spans="1:7" x14ac:dyDescent="0.2">
      <c r="A161" t="s">
        <v>11</v>
      </c>
      <c r="B161" t="s">
        <v>8</v>
      </c>
      <c r="C161" t="s">
        <v>9</v>
      </c>
      <c r="D161" t="s">
        <v>10</v>
      </c>
      <c r="E161">
        <v>4</v>
      </c>
      <c r="F161">
        <v>16.489999999999998</v>
      </c>
      <c r="G161" s="2">
        <v>2</v>
      </c>
    </row>
    <row r="162" spans="1:7" x14ac:dyDescent="0.2">
      <c r="A162" t="s">
        <v>11</v>
      </c>
      <c r="B162" t="s">
        <v>8</v>
      </c>
      <c r="C162" t="s">
        <v>9</v>
      </c>
      <c r="D162" t="s">
        <v>10</v>
      </c>
      <c r="E162">
        <v>4</v>
      </c>
      <c r="F162">
        <v>21.5</v>
      </c>
      <c r="G162" s="2">
        <v>3.5</v>
      </c>
    </row>
    <row r="163" spans="1:7" x14ac:dyDescent="0.2">
      <c r="A163" t="s">
        <v>11</v>
      </c>
      <c r="B163" t="s">
        <v>8</v>
      </c>
      <c r="C163" t="s">
        <v>9</v>
      </c>
      <c r="D163" t="s">
        <v>10</v>
      </c>
      <c r="E163">
        <v>2</v>
      </c>
      <c r="F163">
        <v>12.66</v>
      </c>
      <c r="G163" s="2">
        <v>2.5</v>
      </c>
    </row>
    <row r="164" spans="1:7" x14ac:dyDescent="0.2">
      <c r="A164" t="s">
        <v>7</v>
      </c>
      <c r="B164" t="s">
        <v>8</v>
      </c>
      <c r="C164" t="s">
        <v>9</v>
      </c>
      <c r="D164" t="s">
        <v>10</v>
      </c>
      <c r="E164">
        <v>3</v>
      </c>
      <c r="F164">
        <v>16.21</v>
      </c>
      <c r="G164" s="2">
        <v>2</v>
      </c>
    </row>
    <row r="165" spans="1:7" x14ac:dyDescent="0.2">
      <c r="A165" t="s">
        <v>11</v>
      </c>
      <c r="B165" t="s">
        <v>8</v>
      </c>
      <c r="C165" t="s">
        <v>9</v>
      </c>
      <c r="D165" t="s">
        <v>10</v>
      </c>
      <c r="E165">
        <v>2</v>
      </c>
      <c r="F165">
        <v>13.81</v>
      </c>
      <c r="G165" s="2">
        <v>2</v>
      </c>
    </row>
    <row r="166" spans="1:7" x14ac:dyDescent="0.2">
      <c r="A166" t="s">
        <v>7</v>
      </c>
      <c r="B166" t="s">
        <v>22</v>
      </c>
      <c r="C166" t="s">
        <v>9</v>
      </c>
      <c r="D166" t="s">
        <v>10</v>
      </c>
      <c r="E166">
        <v>2</v>
      </c>
      <c r="F166">
        <v>17.510000000000002</v>
      </c>
      <c r="G166" s="2">
        <v>3</v>
      </c>
    </row>
    <row r="167" spans="1:7" x14ac:dyDescent="0.2">
      <c r="A167" t="s">
        <v>11</v>
      </c>
      <c r="B167" t="s">
        <v>8</v>
      </c>
      <c r="C167" t="s">
        <v>9</v>
      </c>
      <c r="D167" t="s">
        <v>10</v>
      </c>
      <c r="E167">
        <v>3</v>
      </c>
      <c r="F167">
        <v>24.52</v>
      </c>
      <c r="G167" s="2">
        <v>3.48</v>
      </c>
    </row>
    <row r="168" spans="1:7" x14ac:dyDescent="0.2">
      <c r="A168" t="s">
        <v>11</v>
      </c>
      <c r="B168" t="s">
        <v>8</v>
      </c>
      <c r="C168" t="s">
        <v>9</v>
      </c>
      <c r="D168" t="s">
        <v>10</v>
      </c>
      <c r="E168">
        <v>2</v>
      </c>
      <c r="F168">
        <v>20.76</v>
      </c>
      <c r="G168" s="2">
        <v>2.2400000000000002</v>
      </c>
    </row>
    <row r="169" spans="1:7" x14ac:dyDescent="0.2">
      <c r="A169" t="s">
        <v>11</v>
      </c>
      <c r="B169" t="s">
        <v>8</v>
      </c>
      <c r="C169" t="s">
        <v>9</v>
      </c>
      <c r="D169" t="s">
        <v>10</v>
      </c>
      <c r="E169">
        <v>4</v>
      </c>
      <c r="F169">
        <v>31.71</v>
      </c>
      <c r="G169" s="2">
        <v>4.5</v>
      </c>
    </row>
    <row r="170" spans="1:7" x14ac:dyDescent="0.2">
      <c r="A170" t="s">
        <v>7</v>
      </c>
      <c r="B170" t="s">
        <v>22</v>
      </c>
      <c r="C170" t="s">
        <v>21</v>
      </c>
      <c r="D170" t="s">
        <v>10</v>
      </c>
      <c r="E170">
        <v>2</v>
      </c>
      <c r="F170">
        <v>10.59</v>
      </c>
      <c r="G170" s="2">
        <v>1.61</v>
      </c>
    </row>
    <row r="171" spans="1:7" x14ac:dyDescent="0.2">
      <c r="A171" t="s">
        <v>7</v>
      </c>
      <c r="B171" t="s">
        <v>22</v>
      </c>
      <c r="C171" t="s">
        <v>21</v>
      </c>
      <c r="D171" t="s">
        <v>10</v>
      </c>
      <c r="E171">
        <v>2</v>
      </c>
      <c r="F171">
        <v>10.63</v>
      </c>
      <c r="G171" s="2">
        <v>2</v>
      </c>
    </row>
    <row r="172" spans="1:7" x14ac:dyDescent="0.2">
      <c r="A172" t="s">
        <v>11</v>
      </c>
      <c r="B172" t="s">
        <v>22</v>
      </c>
      <c r="C172" t="s">
        <v>21</v>
      </c>
      <c r="D172" t="s">
        <v>10</v>
      </c>
      <c r="E172">
        <v>3</v>
      </c>
      <c r="F172">
        <v>50.81</v>
      </c>
      <c r="G172" s="2">
        <v>10</v>
      </c>
    </row>
    <row r="173" spans="1:7" x14ac:dyDescent="0.2">
      <c r="A173" t="s">
        <v>11</v>
      </c>
      <c r="B173" t="s">
        <v>22</v>
      </c>
      <c r="C173" t="s">
        <v>21</v>
      </c>
      <c r="D173" t="s">
        <v>10</v>
      </c>
      <c r="E173">
        <v>2</v>
      </c>
      <c r="F173">
        <v>15.81</v>
      </c>
      <c r="G173" s="2">
        <v>3.16</v>
      </c>
    </row>
    <row r="174" spans="1:7" x14ac:dyDescent="0.2">
      <c r="A174" t="s">
        <v>11</v>
      </c>
      <c r="B174" t="s">
        <v>22</v>
      </c>
      <c r="C174" t="s">
        <v>9</v>
      </c>
      <c r="D174" t="s">
        <v>10</v>
      </c>
      <c r="E174">
        <v>2</v>
      </c>
      <c r="F174">
        <v>7.25</v>
      </c>
      <c r="G174" s="2">
        <v>5.15</v>
      </c>
    </row>
    <row r="175" spans="1:7" x14ac:dyDescent="0.2">
      <c r="A175" t="s">
        <v>11</v>
      </c>
      <c r="B175" t="s">
        <v>22</v>
      </c>
      <c r="C175" t="s">
        <v>9</v>
      </c>
      <c r="D175" t="s">
        <v>10</v>
      </c>
      <c r="E175">
        <v>2</v>
      </c>
      <c r="F175">
        <v>31.85</v>
      </c>
      <c r="G175" s="2">
        <v>3.18</v>
      </c>
    </row>
    <row r="176" spans="1:7" x14ac:dyDescent="0.2">
      <c r="A176" t="s">
        <v>11</v>
      </c>
      <c r="B176" t="s">
        <v>22</v>
      </c>
      <c r="C176" t="s">
        <v>9</v>
      </c>
      <c r="D176" t="s">
        <v>10</v>
      </c>
      <c r="E176">
        <v>2</v>
      </c>
      <c r="F176">
        <v>16.82</v>
      </c>
      <c r="G176" s="2">
        <v>4</v>
      </c>
    </row>
    <row r="177" spans="1:7" x14ac:dyDescent="0.2">
      <c r="A177" t="s">
        <v>11</v>
      </c>
      <c r="B177" t="s">
        <v>22</v>
      </c>
      <c r="C177" t="s">
        <v>9</v>
      </c>
      <c r="D177" t="s">
        <v>10</v>
      </c>
      <c r="E177">
        <v>2</v>
      </c>
      <c r="F177">
        <v>32.9</v>
      </c>
      <c r="G177" s="2">
        <v>3.11</v>
      </c>
    </row>
    <row r="178" spans="1:7" x14ac:dyDescent="0.2">
      <c r="A178" t="s">
        <v>11</v>
      </c>
      <c r="B178" t="s">
        <v>22</v>
      </c>
      <c r="C178" t="s">
        <v>9</v>
      </c>
      <c r="D178" t="s">
        <v>10</v>
      </c>
      <c r="E178">
        <v>2</v>
      </c>
      <c r="F178">
        <v>17.89</v>
      </c>
      <c r="G178" s="2">
        <v>2</v>
      </c>
    </row>
    <row r="179" spans="1:7" x14ac:dyDescent="0.2">
      <c r="A179" t="s">
        <v>11</v>
      </c>
      <c r="B179" t="s">
        <v>22</v>
      </c>
      <c r="C179" t="s">
        <v>9</v>
      </c>
      <c r="D179" t="s">
        <v>10</v>
      </c>
      <c r="E179">
        <v>2</v>
      </c>
      <c r="F179">
        <v>14.48</v>
      </c>
      <c r="G179" s="2">
        <v>2</v>
      </c>
    </row>
    <row r="180" spans="1:7" x14ac:dyDescent="0.2">
      <c r="A180" t="s">
        <v>7</v>
      </c>
      <c r="B180" t="s">
        <v>22</v>
      </c>
      <c r="C180" t="s">
        <v>9</v>
      </c>
      <c r="D180" t="s">
        <v>10</v>
      </c>
      <c r="E180">
        <v>2</v>
      </c>
      <c r="F180">
        <v>9.6</v>
      </c>
      <c r="G180" s="2">
        <v>4</v>
      </c>
    </row>
    <row r="181" spans="1:7" x14ac:dyDescent="0.2">
      <c r="A181" t="s">
        <v>11</v>
      </c>
      <c r="B181" t="s">
        <v>22</v>
      </c>
      <c r="C181" t="s">
        <v>9</v>
      </c>
      <c r="D181" t="s">
        <v>10</v>
      </c>
      <c r="E181">
        <v>2</v>
      </c>
      <c r="F181">
        <v>34.630000000000003</v>
      </c>
      <c r="G181" s="2">
        <v>3.55</v>
      </c>
    </row>
    <row r="182" spans="1:7" x14ac:dyDescent="0.2">
      <c r="A182" t="s">
        <v>11</v>
      </c>
      <c r="B182" t="s">
        <v>22</v>
      </c>
      <c r="C182" t="s">
        <v>9</v>
      </c>
      <c r="D182" t="s">
        <v>10</v>
      </c>
      <c r="E182">
        <v>4</v>
      </c>
      <c r="F182">
        <v>34.65</v>
      </c>
      <c r="G182" s="2">
        <v>3.68</v>
      </c>
    </row>
    <row r="183" spans="1:7" x14ac:dyDescent="0.2">
      <c r="A183" t="s">
        <v>11</v>
      </c>
      <c r="B183" t="s">
        <v>22</v>
      </c>
      <c r="C183" t="s">
        <v>9</v>
      </c>
      <c r="D183" t="s">
        <v>10</v>
      </c>
      <c r="E183">
        <v>2</v>
      </c>
      <c r="F183">
        <v>23.33</v>
      </c>
      <c r="G183" s="2">
        <v>5.65</v>
      </c>
    </row>
    <row r="184" spans="1:7" x14ac:dyDescent="0.2">
      <c r="A184" t="s">
        <v>11</v>
      </c>
      <c r="B184" t="s">
        <v>22</v>
      </c>
      <c r="C184" t="s">
        <v>9</v>
      </c>
      <c r="D184" t="s">
        <v>10</v>
      </c>
      <c r="E184">
        <v>3</v>
      </c>
      <c r="F184">
        <v>45.35</v>
      </c>
      <c r="G184" s="2">
        <v>3.5</v>
      </c>
    </row>
    <row r="185" spans="1:7" x14ac:dyDescent="0.2">
      <c r="A185" t="s">
        <v>11</v>
      </c>
      <c r="B185" t="s">
        <v>22</v>
      </c>
      <c r="C185" t="s">
        <v>9</v>
      </c>
      <c r="D185" t="s">
        <v>10</v>
      </c>
      <c r="E185">
        <v>4</v>
      </c>
      <c r="F185">
        <v>23.17</v>
      </c>
      <c r="G185" s="2">
        <v>6.5</v>
      </c>
    </row>
    <row r="186" spans="1:7" x14ac:dyDescent="0.2">
      <c r="A186" t="s">
        <v>11</v>
      </c>
      <c r="B186" t="s">
        <v>22</v>
      </c>
      <c r="C186" t="s">
        <v>9</v>
      </c>
      <c r="D186" t="s">
        <v>10</v>
      </c>
      <c r="E186">
        <v>2</v>
      </c>
      <c r="F186">
        <v>40.549999999999997</v>
      </c>
      <c r="G186" s="2">
        <v>3</v>
      </c>
    </row>
    <row r="187" spans="1:7" x14ac:dyDescent="0.2">
      <c r="A187" t="s">
        <v>11</v>
      </c>
      <c r="B187" t="s">
        <v>8</v>
      </c>
      <c r="C187" t="s">
        <v>9</v>
      </c>
      <c r="D187" t="s">
        <v>10</v>
      </c>
      <c r="E187">
        <v>5</v>
      </c>
      <c r="F187">
        <v>20.69</v>
      </c>
      <c r="G187" s="2">
        <v>5</v>
      </c>
    </row>
    <row r="188" spans="1:7" x14ac:dyDescent="0.2">
      <c r="A188" t="s">
        <v>7</v>
      </c>
      <c r="B188" t="s">
        <v>22</v>
      </c>
      <c r="C188" t="s">
        <v>9</v>
      </c>
      <c r="D188" t="s">
        <v>10</v>
      </c>
      <c r="E188">
        <v>3</v>
      </c>
      <c r="F188">
        <v>20.9</v>
      </c>
      <c r="G188" s="2">
        <v>3.5</v>
      </c>
    </row>
    <row r="189" spans="1:7" x14ac:dyDescent="0.2">
      <c r="A189" t="s">
        <v>11</v>
      </c>
      <c r="B189" t="s">
        <v>22</v>
      </c>
      <c r="C189" t="s">
        <v>9</v>
      </c>
      <c r="D189" t="s">
        <v>10</v>
      </c>
      <c r="E189">
        <v>5</v>
      </c>
      <c r="F189">
        <v>30.46</v>
      </c>
      <c r="G189" s="2">
        <v>2</v>
      </c>
    </row>
    <row r="190" spans="1:7" x14ac:dyDescent="0.2">
      <c r="A190" t="s">
        <v>7</v>
      </c>
      <c r="B190" t="s">
        <v>22</v>
      </c>
      <c r="C190" t="s">
        <v>9</v>
      </c>
      <c r="D190" t="s">
        <v>10</v>
      </c>
      <c r="E190">
        <v>3</v>
      </c>
      <c r="F190">
        <v>18.149999999999999</v>
      </c>
      <c r="G190" s="2">
        <v>3.5</v>
      </c>
    </row>
    <row r="191" spans="1:7" x14ac:dyDescent="0.2">
      <c r="A191" t="s">
        <v>11</v>
      </c>
      <c r="B191" t="s">
        <v>22</v>
      </c>
      <c r="C191" t="s">
        <v>9</v>
      </c>
      <c r="D191" t="s">
        <v>10</v>
      </c>
      <c r="E191">
        <v>3</v>
      </c>
      <c r="F191">
        <v>23.1</v>
      </c>
      <c r="G191" s="2">
        <v>4</v>
      </c>
    </row>
    <row r="192" spans="1:7" x14ac:dyDescent="0.2">
      <c r="A192" t="s">
        <v>11</v>
      </c>
      <c r="B192" t="s">
        <v>22</v>
      </c>
      <c r="C192" t="s">
        <v>9</v>
      </c>
      <c r="D192" t="s">
        <v>10</v>
      </c>
      <c r="E192">
        <v>2</v>
      </c>
      <c r="F192">
        <v>15.69</v>
      </c>
      <c r="G192" s="2">
        <v>1.5</v>
      </c>
    </row>
    <row r="193" spans="1:7" x14ac:dyDescent="0.2">
      <c r="A193" t="s">
        <v>7</v>
      </c>
      <c r="B193" t="s">
        <v>22</v>
      </c>
      <c r="C193" t="s">
        <v>23</v>
      </c>
      <c r="D193" t="s">
        <v>24</v>
      </c>
      <c r="E193">
        <v>2</v>
      </c>
      <c r="F193">
        <v>19.809999999999999</v>
      </c>
      <c r="G193" s="2">
        <v>4.1900000000000004</v>
      </c>
    </row>
    <row r="194" spans="1:7" x14ac:dyDescent="0.2">
      <c r="A194" t="s">
        <v>11</v>
      </c>
      <c r="B194" t="s">
        <v>22</v>
      </c>
      <c r="C194" t="s">
        <v>23</v>
      </c>
      <c r="D194" t="s">
        <v>24</v>
      </c>
      <c r="E194">
        <v>2</v>
      </c>
      <c r="F194">
        <v>28.44</v>
      </c>
      <c r="G194" s="2">
        <v>2.56</v>
      </c>
    </row>
    <row r="195" spans="1:7" x14ac:dyDescent="0.2">
      <c r="A195" t="s">
        <v>11</v>
      </c>
      <c r="B195" t="s">
        <v>22</v>
      </c>
      <c r="C195" t="s">
        <v>23</v>
      </c>
      <c r="D195" t="s">
        <v>24</v>
      </c>
      <c r="E195">
        <v>2</v>
      </c>
      <c r="F195">
        <v>15.48</v>
      </c>
      <c r="G195" s="2">
        <v>2.02</v>
      </c>
    </row>
    <row r="196" spans="1:7" x14ac:dyDescent="0.2">
      <c r="A196" t="s">
        <v>11</v>
      </c>
      <c r="B196" t="s">
        <v>22</v>
      </c>
      <c r="C196" t="s">
        <v>23</v>
      </c>
      <c r="D196" t="s">
        <v>24</v>
      </c>
      <c r="E196">
        <v>2</v>
      </c>
      <c r="F196">
        <v>16.579999999999998</v>
      </c>
      <c r="G196" s="2">
        <v>4</v>
      </c>
    </row>
    <row r="197" spans="1:7" x14ac:dyDescent="0.2">
      <c r="A197" t="s">
        <v>11</v>
      </c>
      <c r="B197" t="s">
        <v>8</v>
      </c>
      <c r="C197" t="s">
        <v>23</v>
      </c>
      <c r="D197" t="s">
        <v>24</v>
      </c>
      <c r="E197">
        <v>2</v>
      </c>
      <c r="F197">
        <v>7.56</v>
      </c>
      <c r="G197" s="2">
        <v>1.44</v>
      </c>
    </row>
    <row r="198" spans="1:7" x14ac:dyDescent="0.2">
      <c r="A198" t="s">
        <v>11</v>
      </c>
      <c r="B198" t="s">
        <v>22</v>
      </c>
      <c r="C198" t="s">
        <v>23</v>
      </c>
      <c r="D198" t="s">
        <v>24</v>
      </c>
      <c r="E198">
        <v>2</v>
      </c>
      <c r="F198">
        <v>10.34</v>
      </c>
      <c r="G198" s="2">
        <v>2</v>
      </c>
    </row>
    <row r="199" spans="1:7" x14ac:dyDescent="0.2">
      <c r="A199" t="s">
        <v>7</v>
      </c>
      <c r="B199" t="s">
        <v>22</v>
      </c>
      <c r="C199" t="s">
        <v>23</v>
      </c>
      <c r="D199" t="s">
        <v>24</v>
      </c>
      <c r="E199">
        <v>4</v>
      </c>
      <c r="F199">
        <v>43.11</v>
      </c>
      <c r="G199" s="2">
        <v>5</v>
      </c>
    </row>
    <row r="200" spans="1:7" x14ac:dyDescent="0.2">
      <c r="A200" t="s">
        <v>7</v>
      </c>
      <c r="B200" t="s">
        <v>22</v>
      </c>
      <c r="C200" t="s">
        <v>23</v>
      </c>
      <c r="D200" t="s">
        <v>24</v>
      </c>
      <c r="E200">
        <v>2</v>
      </c>
      <c r="F200">
        <v>13</v>
      </c>
      <c r="G200" s="2">
        <v>2</v>
      </c>
    </row>
    <row r="201" spans="1:7" x14ac:dyDescent="0.2">
      <c r="A201" t="s">
        <v>11</v>
      </c>
      <c r="B201" t="s">
        <v>22</v>
      </c>
      <c r="C201" t="s">
        <v>23</v>
      </c>
      <c r="D201" t="s">
        <v>24</v>
      </c>
      <c r="E201">
        <v>2</v>
      </c>
      <c r="F201">
        <v>13.51</v>
      </c>
      <c r="G201" s="2">
        <v>2</v>
      </c>
    </row>
    <row r="202" spans="1:7" x14ac:dyDescent="0.2">
      <c r="A202" t="s">
        <v>11</v>
      </c>
      <c r="B202" t="s">
        <v>22</v>
      </c>
      <c r="C202" t="s">
        <v>23</v>
      </c>
      <c r="D202" t="s">
        <v>24</v>
      </c>
      <c r="E202">
        <v>3</v>
      </c>
      <c r="F202">
        <v>18.71</v>
      </c>
      <c r="G202" s="2">
        <v>4</v>
      </c>
    </row>
    <row r="203" spans="1:7" x14ac:dyDescent="0.2">
      <c r="A203" t="s">
        <v>7</v>
      </c>
      <c r="B203" t="s">
        <v>22</v>
      </c>
      <c r="C203" t="s">
        <v>23</v>
      </c>
      <c r="D203" t="s">
        <v>24</v>
      </c>
      <c r="E203">
        <v>2</v>
      </c>
      <c r="F203">
        <v>12.74</v>
      </c>
      <c r="G203" s="2">
        <v>2.0099999999999998</v>
      </c>
    </row>
    <row r="204" spans="1:7" x14ac:dyDescent="0.2">
      <c r="A204" t="s">
        <v>7</v>
      </c>
      <c r="B204" t="s">
        <v>22</v>
      </c>
      <c r="C204" t="s">
        <v>23</v>
      </c>
      <c r="D204" t="s">
        <v>24</v>
      </c>
      <c r="E204">
        <v>2</v>
      </c>
      <c r="F204">
        <v>13</v>
      </c>
      <c r="G204" s="2">
        <v>2</v>
      </c>
    </row>
    <row r="205" spans="1:7" x14ac:dyDescent="0.2">
      <c r="A205" t="s">
        <v>7</v>
      </c>
      <c r="B205" t="s">
        <v>22</v>
      </c>
      <c r="C205" t="s">
        <v>23</v>
      </c>
      <c r="D205" t="s">
        <v>24</v>
      </c>
      <c r="E205">
        <v>2</v>
      </c>
      <c r="F205">
        <v>16.399999999999999</v>
      </c>
      <c r="G205" s="2">
        <v>2.5</v>
      </c>
    </row>
    <row r="206" spans="1:7" x14ac:dyDescent="0.2">
      <c r="A206" t="s">
        <v>11</v>
      </c>
      <c r="B206" t="s">
        <v>22</v>
      </c>
      <c r="C206" t="s">
        <v>23</v>
      </c>
      <c r="D206" t="s">
        <v>24</v>
      </c>
      <c r="E206">
        <v>4</v>
      </c>
      <c r="F206">
        <v>20.53</v>
      </c>
      <c r="G206" s="2">
        <v>4</v>
      </c>
    </row>
    <row r="207" spans="1:7" x14ac:dyDescent="0.2">
      <c r="A207" t="s">
        <v>7</v>
      </c>
      <c r="B207" t="s">
        <v>22</v>
      </c>
      <c r="C207" t="s">
        <v>23</v>
      </c>
      <c r="D207" t="s">
        <v>24</v>
      </c>
      <c r="E207">
        <v>3</v>
      </c>
      <c r="F207">
        <v>16.47</v>
      </c>
      <c r="G207" s="2">
        <v>3.23</v>
      </c>
    </row>
    <row r="208" spans="1:7" x14ac:dyDescent="0.2">
      <c r="A208" t="s">
        <v>11</v>
      </c>
      <c r="B208" t="s">
        <v>22</v>
      </c>
      <c r="C208" t="s">
        <v>21</v>
      </c>
      <c r="D208" t="s">
        <v>10</v>
      </c>
      <c r="E208">
        <v>3</v>
      </c>
      <c r="F208">
        <v>26.59</v>
      </c>
      <c r="G208" s="2">
        <v>3.41</v>
      </c>
    </row>
    <row r="209" spans="1:7" x14ac:dyDescent="0.2">
      <c r="A209" t="s">
        <v>11</v>
      </c>
      <c r="B209" t="s">
        <v>22</v>
      </c>
      <c r="C209" t="s">
        <v>21</v>
      </c>
      <c r="D209" t="s">
        <v>10</v>
      </c>
      <c r="E209">
        <v>4</v>
      </c>
      <c r="F209">
        <v>38.729999999999997</v>
      </c>
      <c r="G209" s="2">
        <v>3</v>
      </c>
    </row>
    <row r="210" spans="1:7" x14ac:dyDescent="0.2">
      <c r="A210" t="s">
        <v>11</v>
      </c>
      <c r="B210" t="s">
        <v>22</v>
      </c>
      <c r="C210" t="s">
        <v>21</v>
      </c>
      <c r="D210" t="s">
        <v>10</v>
      </c>
      <c r="E210">
        <v>2</v>
      </c>
      <c r="F210">
        <v>24.27</v>
      </c>
      <c r="G210" s="2">
        <v>2.0299999999999998</v>
      </c>
    </row>
    <row r="211" spans="1:7" x14ac:dyDescent="0.2">
      <c r="A211" t="s">
        <v>7</v>
      </c>
      <c r="B211" t="s">
        <v>22</v>
      </c>
      <c r="C211" t="s">
        <v>21</v>
      </c>
      <c r="D211" t="s">
        <v>10</v>
      </c>
      <c r="E211">
        <v>2</v>
      </c>
      <c r="F211">
        <v>12.76</v>
      </c>
      <c r="G211" s="2">
        <v>2.23</v>
      </c>
    </row>
    <row r="212" spans="1:7" x14ac:dyDescent="0.2">
      <c r="A212" t="s">
        <v>11</v>
      </c>
      <c r="B212" t="s">
        <v>22</v>
      </c>
      <c r="C212" t="s">
        <v>21</v>
      </c>
      <c r="D212" t="s">
        <v>10</v>
      </c>
      <c r="E212">
        <v>3</v>
      </c>
      <c r="F212">
        <v>30.06</v>
      </c>
      <c r="G212" s="2">
        <v>2</v>
      </c>
    </row>
    <row r="213" spans="1:7" x14ac:dyDescent="0.2">
      <c r="A213" t="s">
        <v>11</v>
      </c>
      <c r="B213" t="s">
        <v>22</v>
      </c>
      <c r="C213" t="s">
        <v>21</v>
      </c>
      <c r="D213" t="s">
        <v>10</v>
      </c>
      <c r="E213">
        <v>4</v>
      </c>
      <c r="F213">
        <v>25.89</v>
      </c>
      <c r="G213" s="2">
        <v>5.16</v>
      </c>
    </row>
    <row r="214" spans="1:7" x14ac:dyDescent="0.2">
      <c r="A214" t="s">
        <v>11</v>
      </c>
      <c r="B214" t="s">
        <v>8</v>
      </c>
      <c r="C214" t="s">
        <v>21</v>
      </c>
      <c r="D214" t="s">
        <v>10</v>
      </c>
      <c r="E214">
        <v>4</v>
      </c>
      <c r="F214">
        <v>48.33</v>
      </c>
      <c r="G214" s="2">
        <v>9</v>
      </c>
    </row>
    <row r="215" spans="1:7" x14ac:dyDescent="0.2">
      <c r="A215" t="s">
        <v>7</v>
      </c>
      <c r="B215" t="s">
        <v>22</v>
      </c>
      <c r="C215" t="s">
        <v>21</v>
      </c>
      <c r="D215" t="s">
        <v>10</v>
      </c>
      <c r="E215">
        <v>2</v>
      </c>
      <c r="F215">
        <v>13.27</v>
      </c>
      <c r="G215" s="2">
        <v>2.5</v>
      </c>
    </row>
    <row r="216" spans="1:7" x14ac:dyDescent="0.2">
      <c r="A216" t="s">
        <v>7</v>
      </c>
      <c r="B216" t="s">
        <v>22</v>
      </c>
      <c r="C216" t="s">
        <v>21</v>
      </c>
      <c r="D216" t="s">
        <v>10</v>
      </c>
      <c r="E216">
        <v>3</v>
      </c>
      <c r="F216">
        <v>28.17</v>
      </c>
      <c r="G216" s="2">
        <v>6.5</v>
      </c>
    </row>
    <row r="217" spans="1:7" x14ac:dyDescent="0.2">
      <c r="A217" t="s">
        <v>7</v>
      </c>
      <c r="B217" t="s">
        <v>22</v>
      </c>
      <c r="C217" t="s">
        <v>21</v>
      </c>
      <c r="D217" t="s">
        <v>10</v>
      </c>
      <c r="E217">
        <v>2</v>
      </c>
      <c r="F217">
        <v>12.9</v>
      </c>
      <c r="G217" s="2">
        <v>1.1000000000000001</v>
      </c>
    </row>
    <row r="218" spans="1:7" x14ac:dyDescent="0.2">
      <c r="A218" t="s">
        <v>11</v>
      </c>
      <c r="B218" t="s">
        <v>22</v>
      </c>
      <c r="C218" t="s">
        <v>21</v>
      </c>
      <c r="D218" t="s">
        <v>10</v>
      </c>
      <c r="E218">
        <v>5</v>
      </c>
      <c r="F218">
        <v>28.15</v>
      </c>
      <c r="G218" s="2">
        <v>3</v>
      </c>
    </row>
    <row r="219" spans="1:7" x14ac:dyDescent="0.2">
      <c r="A219" t="s">
        <v>11</v>
      </c>
      <c r="B219" t="s">
        <v>22</v>
      </c>
      <c r="C219" t="s">
        <v>21</v>
      </c>
      <c r="D219" t="s">
        <v>10</v>
      </c>
      <c r="E219">
        <v>2</v>
      </c>
      <c r="F219">
        <v>11.59</v>
      </c>
      <c r="G219" s="2">
        <v>1.5</v>
      </c>
    </row>
    <row r="220" spans="1:7" x14ac:dyDescent="0.2">
      <c r="A220" t="s">
        <v>11</v>
      </c>
      <c r="B220" t="s">
        <v>22</v>
      </c>
      <c r="C220" t="s">
        <v>21</v>
      </c>
      <c r="D220" t="s">
        <v>10</v>
      </c>
      <c r="E220">
        <v>2</v>
      </c>
      <c r="F220">
        <v>7.74</v>
      </c>
      <c r="G220" s="2">
        <v>1.44</v>
      </c>
    </row>
    <row r="221" spans="1:7" x14ac:dyDescent="0.2">
      <c r="A221" t="s">
        <v>7</v>
      </c>
      <c r="B221" t="s">
        <v>22</v>
      </c>
      <c r="C221" t="s">
        <v>21</v>
      </c>
      <c r="D221" t="s">
        <v>10</v>
      </c>
      <c r="E221">
        <v>4</v>
      </c>
      <c r="F221">
        <v>30.14</v>
      </c>
      <c r="G221" s="2">
        <v>3.09</v>
      </c>
    </row>
    <row r="222" spans="1:7" x14ac:dyDescent="0.2">
      <c r="A222" t="s">
        <v>11</v>
      </c>
      <c r="B222" t="s">
        <v>22</v>
      </c>
      <c r="C222" t="s">
        <v>25</v>
      </c>
      <c r="D222" t="s">
        <v>24</v>
      </c>
      <c r="E222">
        <v>2</v>
      </c>
      <c r="F222">
        <v>12.16</v>
      </c>
      <c r="G222" s="2">
        <v>2.2000000000000002</v>
      </c>
    </row>
    <row r="223" spans="1:7" x14ac:dyDescent="0.2">
      <c r="A223" t="s">
        <v>7</v>
      </c>
      <c r="B223" t="s">
        <v>22</v>
      </c>
      <c r="C223" t="s">
        <v>25</v>
      </c>
      <c r="D223" t="s">
        <v>24</v>
      </c>
      <c r="E223">
        <v>2</v>
      </c>
      <c r="F223">
        <v>13.42</v>
      </c>
      <c r="G223" s="2">
        <v>3.48</v>
      </c>
    </row>
    <row r="224" spans="1:7" x14ac:dyDescent="0.2">
      <c r="A224" t="s">
        <v>11</v>
      </c>
      <c r="B224" t="s">
        <v>22</v>
      </c>
      <c r="C224" t="s">
        <v>25</v>
      </c>
      <c r="D224" t="s">
        <v>24</v>
      </c>
      <c r="E224">
        <v>1</v>
      </c>
      <c r="F224">
        <v>8.58</v>
      </c>
      <c r="G224" s="2">
        <v>1.92</v>
      </c>
    </row>
    <row r="225" spans="1:7" x14ac:dyDescent="0.2">
      <c r="A225" t="s">
        <v>7</v>
      </c>
      <c r="B225" t="s">
        <v>8</v>
      </c>
      <c r="C225" t="s">
        <v>25</v>
      </c>
      <c r="D225" t="s">
        <v>24</v>
      </c>
      <c r="E225">
        <v>3</v>
      </c>
      <c r="F225">
        <v>15.98</v>
      </c>
      <c r="G225" s="2">
        <v>3</v>
      </c>
    </row>
    <row r="226" spans="1:7" x14ac:dyDescent="0.2">
      <c r="A226" t="s">
        <v>11</v>
      </c>
      <c r="B226" t="s">
        <v>22</v>
      </c>
      <c r="C226" t="s">
        <v>25</v>
      </c>
      <c r="D226" t="s">
        <v>24</v>
      </c>
      <c r="E226">
        <v>2</v>
      </c>
      <c r="F226">
        <v>13.42</v>
      </c>
      <c r="G226" s="2">
        <v>1.58</v>
      </c>
    </row>
    <row r="227" spans="1:7" x14ac:dyDescent="0.2">
      <c r="A227" t="s">
        <v>7</v>
      </c>
      <c r="B227" t="s">
        <v>22</v>
      </c>
      <c r="C227" t="s">
        <v>25</v>
      </c>
      <c r="D227" t="s">
        <v>24</v>
      </c>
      <c r="E227">
        <v>2</v>
      </c>
      <c r="F227">
        <v>16.27</v>
      </c>
      <c r="G227" s="2">
        <v>2.5</v>
      </c>
    </row>
    <row r="228" spans="1:7" x14ac:dyDescent="0.2">
      <c r="A228" t="s">
        <v>7</v>
      </c>
      <c r="B228" t="s">
        <v>22</v>
      </c>
      <c r="C228" t="s">
        <v>25</v>
      </c>
      <c r="D228" t="s">
        <v>24</v>
      </c>
      <c r="E228">
        <v>2</v>
      </c>
      <c r="F228">
        <v>10.09</v>
      </c>
      <c r="G228" s="2">
        <v>2</v>
      </c>
    </row>
    <row r="229" spans="1:7" x14ac:dyDescent="0.2">
      <c r="A229" t="s">
        <v>11</v>
      </c>
      <c r="B229" t="s">
        <v>8</v>
      </c>
      <c r="C229" t="s">
        <v>21</v>
      </c>
      <c r="D229" t="s">
        <v>10</v>
      </c>
      <c r="E229">
        <v>4</v>
      </c>
      <c r="F229">
        <v>20.45</v>
      </c>
      <c r="G229" s="2">
        <v>3</v>
      </c>
    </row>
    <row r="230" spans="1:7" x14ac:dyDescent="0.2">
      <c r="A230" t="s">
        <v>11</v>
      </c>
      <c r="B230" t="s">
        <v>8</v>
      </c>
      <c r="C230" t="s">
        <v>21</v>
      </c>
      <c r="D230" t="s">
        <v>10</v>
      </c>
      <c r="E230">
        <v>2</v>
      </c>
      <c r="F230">
        <v>13.28</v>
      </c>
      <c r="G230" s="2">
        <v>2.72</v>
      </c>
    </row>
    <row r="231" spans="1:7" x14ac:dyDescent="0.2">
      <c r="A231" t="s">
        <v>7</v>
      </c>
      <c r="B231" t="s">
        <v>22</v>
      </c>
      <c r="C231" t="s">
        <v>21</v>
      </c>
      <c r="D231" t="s">
        <v>10</v>
      </c>
      <c r="E231">
        <v>2</v>
      </c>
      <c r="F231">
        <v>22.12</v>
      </c>
      <c r="G231" s="2">
        <v>2.88</v>
      </c>
    </row>
    <row r="232" spans="1:7" x14ac:dyDescent="0.2">
      <c r="A232" t="s">
        <v>11</v>
      </c>
      <c r="B232" t="s">
        <v>22</v>
      </c>
      <c r="C232" t="s">
        <v>21</v>
      </c>
      <c r="D232" t="s">
        <v>10</v>
      </c>
      <c r="E232">
        <v>4</v>
      </c>
      <c r="F232">
        <v>24.01</v>
      </c>
      <c r="G232" s="2">
        <v>2</v>
      </c>
    </row>
    <row r="233" spans="1:7" x14ac:dyDescent="0.2">
      <c r="A233" t="s">
        <v>11</v>
      </c>
      <c r="B233" t="s">
        <v>22</v>
      </c>
      <c r="C233" t="s">
        <v>21</v>
      </c>
      <c r="D233" t="s">
        <v>10</v>
      </c>
      <c r="E233">
        <v>3</v>
      </c>
      <c r="F233">
        <v>15.69</v>
      </c>
      <c r="G233" s="2">
        <v>3</v>
      </c>
    </row>
    <row r="234" spans="1:7" x14ac:dyDescent="0.2">
      <c r="A234" t="s">
        <v>11</v>
      </c>
      <c r="B234" t="s">
        <v>8</v>
      </c>
      <c r="C234" t="s">
        <v>21</v>
      </c>
      <c r="D234" t="s">
        <v>10</v>
      </c>
      <c r="E234">
        <v>2</v>
      </c>
      <c r="F234">
        <v>11.61</v>
      </c>
      <c r="G234" s="2">
        <v>3.39</v>
      </c>
    </row>
    <row r="235" spans="1:7" x14ac:dyDescent="0.2">
      <c r="A235" t="s">
        <v>11</v>
      </c>
      <c r="B235" t="s">
        <v>8</v>
      </c>
      <c r="C235" t="s">
        <v>21</v>
      </c>
      <c r="D235" t="s">
        <v>10</v>
      </c>
      <c r="E235">
        <v>2</v>
      </c>
      <c r="F235">
        <v>10.77</v>
      </c>
      <c r="G235" s="2">
        <v>1.47</v>
      </c>
    </row>
    <row r="236" spans="1:7" x14ac:dyDescent="0.2">
      <c r="A236" t="s">
        <v>11</v>
      </c>
      <c r="B236" t="s">
        <v>22</v>
      </c>
      <c r="C236" t="s">
        <v>21</v>
      </c>
      <c r="D236" t="s">
        <v>10</v>
      </c>
      <c r="E236">
        <v>2</v>
      </c>
      <c r="F236">
        <v>15.53</v>
      </c>
      <c r="G236" s="2">
        <v>3</v>
      </c>
    </row>
    <row r="237" spans="1:7" x14ac:dyDescent="0.2">
      <c r="A237" t="s">
        <v>11</v>
      </c>
      <c r="B237" t="s">
        <v>8</v>
      </c>
      <c r="C237" t="s">
        <v>21</v>
      </c>
      <c r="D237" t="s">
        <v>10</v>
      </c>
      <c r="E237">
        <v>2</v>
      </c>
      <c r="F237">
        <v>10.07</v>
      </c>
      <c r="G237" s="2">
        <v>1.25</v>
      </c>
    </row>
    <row r="238" spans="1:7" x14ac:dyDescent="0.2">
      <c r="A238" t="s">
        <v>11</v>
      </c>
      <c r="B238" t="s">
        <v>22</v>
      </c>
      <c r="C238" t="s">
        <v>21</v>
      </c>
      <c r="D238" t="s">
        <v>10</v>
      </c>
      <c r="E238">
        <v>2</v>
      </c>
      <c r="F238">
        <v>12.6</v>
      </c>
      <c r="G238" s="2">
        <v>1</v>
      </c>
    </row>
    <row r="239" spans="1:7" x14ac:dyDescent="0.2">
      <c r="A239" t="s">
        <v>11</v>
      </c>
      <c r="B239" t="s">
        <v>22</v>
      </c>
      <c r="C239" t="s">
        <v>21</v>
      </c>
      <c r="D239" t="s">
        <v>10</v>
      </c>
      <c r="E239">
        <v>2</v>
      </c>
      <c r="F239">
        <v>32.83</v>
      </c>
      <c r="G239" s="2">
        <v>1.17</v>
      </c>
    </row>
    <row r="240" spans="1:7" x14ac:dyDescent="0.2">
      <c r="A240" t="s">
        <v>7</v>
      </c>
      <c r="B240" t="s">
        <v>8</v>
      </c>
      <c r="C240" t="s">
        <v>21</v>
      </c>
      <c r="D240" t="s">
        <v>10</v>
      </c>
      <c r="E240">
        <v>3</v>
      </c>
      <c r="F240">
        <v>35.83</v>
      </c>
      <c r="G240" s="2">
        <v>4.67</v>
      </c>
    </row>
    <row r="241" spans="1:7" x14ac:dyDescent="0.2">
      <c r="A241" t="s">
        <v>11</v>
      </c>
      <c r="B241" t="s">
        <v>8</v>
      </c>
      <c r="C241" t="s">
        <v>21</v>
      </c>
      <c r="D241" t="s">
        <v>10</v>
      </c>
      <c r="E241">
        <v>3</v>
      </c>
      <c r="F241">
        <v>29.03</v>
      </c>
      <c r="G241" s="2">
        <v>5.92</v>
      </c>
    </row>
    <row r="242" spans="1:7" x14ac:dyDescent="0.2">
      <c r="A242" t="s">
        <v>7</v>
      </c>
      <c r="B242" t="s">
        <v>22</v>
      </c>
      <c r="C242" t="s">
        <v>21</v>
      </c>
      <c r="D242" t="s">
        <v>10</v>
      </c>
      <c r="E242">
        <v>2</v>
      </c>
      <c r="F242">
        <v>27.18</v>
      </c>
      <c r="G242" s="2">
        <v>2</v>
      </c>
    </row>
    <row r="243" spans="1:7" x14ac:dyDescent="0.2">
      <c r="A243" t="s">
        <v>11</v>
      </c>
      <c r="B243" t="s">
        <v>22</v>
      </c>
      <c r="C243" t="s">
        <v>21</v>
      </c>
      <c r="D243" t="s">
        <v>10</v>
      </c>
      <c r="E243">
        <v>2</v>
      </c>
      <c r="F243">
        <v>22.67</v>
      </c>
      <c r="G243" s="2">
        <v>2</v>
      </c>
    </row>
    <row r="244" spans="1:7" x14ac:dyDescent="0.2">
      <c r="A244" t="s">
        <v>11</v>
      </c>
      <c r="B244" t="s">
        <v>8</v>
      </c>
      <c r="C244" t="s">
        <v>21</v>
      </c>
      <c r="D244" t="s">
        <v>10</v>
      </c>
      <c r="E244">
        <v>2</v>
      </c>
      <c r="F244">
        <v>17.82</v>
      </c>
      <c r="G244" s="2">
        <v>1.75</v>
      </c>
    </row>
    <row r="245" spans="1:7" x14ac:dyDescent="0.2">
      <c r="A245" t="s">
        <v>7</v>
      </c>
      <c r="B245" t="s">
        <v>8</v>
      </c>
      <c r="C245" t="s">
        <v>23</v>
      </c>
      <c r="D245" t="s">
        <v>10</v>
      </c>
      <c r="E245">
        <v>2</v>
      </c>
      <c r="F245">
        <v>18.78</v>
      </c>
      <c r="G245" s="2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Nikhil Sai DAMERA</cp:lastModifiedBy>
  <cp:revision/>
  <dcterms:created xsi:type="dcterms:W3CDTF">2021-10-26T16:10:41Z</dcterms:created>
  <dcterms:modified xsi:type="dcterms:W3CDTF">2026-05-11T22:05:22Z</dcterms:modified>
  <cp:category/>
  <cp:contentStatus/>
</cp:coreProperties>
</file>